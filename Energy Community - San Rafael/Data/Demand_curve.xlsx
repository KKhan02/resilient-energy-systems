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na\Documents\GitLab\microgrids\mgSanRafael\Inputs\"/>
    </mc:Choice>
  </mc:AlternateContent>
  <xr:revisionPtr revIDLastSave="0" documentId="13_ncr:1_{A2C9BF7C-8EE6-46C8-A153-42A54D5EBAE9}" xr6:coauthVersionLast="36" xr6:coauthVersionMax="36" xr10:uidLastSave="{00000000-0000-0000-0000-000000000000}"/>
  <bookViews>
    <workbookView xWindow="0" yWindow="0" windowWidth="30720" windowHeight="12278" xr2:uid="{9FFA6A9B-A021-4B45-8E6E-9FEBF6BEA7D1}"/>
  </bookViews>
  <sheets>
    <sheet name="Tabelle1" sheetId="1" r:id="rId1"/>
    <sheet name="Period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F4" i="1"/>
  <c r="F5" i="1"/>
  <c r="K5" i="1"/>
  <c r="H2" i="3" l="1"/>
  <c r="K11" i="1"/>
  <c r="K10" i="1"/>
  <c r="K6" i="1"/>
  <c r="K7" i="1"/>
  <c r="K8" i="1"/>
  <c r="K9" i="1"/>
  <c r="L4" i="1"/>
  <c r="B25" i="3" l="1"/>
  <c r="C25" i="3"/>
  <c r="D25" i="3"/>
  <c r="E25" i="3"/>
  <c r="I29" i="1"/>
  <c r="H29" i="1"/>
  <c r="G29" i="1"/>
  <c r="F28" i="1"/>
  <c r="G28" i="1"/>
  <c r="H28" i="1"/>
  <c r="I28" i="1"/>
  <c r="I4" i="1"/>
  <c r="I10" i="1" s="1"/>
  <c r="E7" i="3" s="1"/>
  <c r="H4" i="1"/>
  <c r="H8" i="1" s="1"/>
  <c r="D5" i="3" s="1"/>
  <c r="G4" i="1"/>
  <c r="G10" i="1" s="1"/>
  <c r="C7" i="3" s="1"/>
  <c r="B2" i="3"/>
  <c r="G6" i="1" l="1"/>
  <c r="C3" i="3" s="1"/>
  <c r="I6" i="1"/>
  <c r="E3" i="3" s="1"/>
  <c r="H6" i="1"/>
  <c r="D3" i="3" s="1"/>
  <c r="F6" i="1"/>
  <c r="B3" i="3" s="1"/>
  <c r="I7" i="1"/>
  <c r="E4" i="3" s="1"/>
  <c r="I5" i="1"/>
  <c r="E2" i="3" s="1"/>
  <c r="H7" i="1"/>
  <c r="D4" i="3" s="1"/>
  <c r="H5" i="1"/>
  <c r="D2" i="3" s="1"/>
  <c r="I24" i="1"/>
  <c r="E21" i="3" s="1"/>
  <c r="G7" i="1"/>
  <c r="C4" i="3" s="1"/>
  <c r="G5" i="1"/>
  <c r="C2" i="3" s="1"/>
  <c r="I14" i="1"/>
  <c r="E11" i="3" s="1"/>
  <c r="F7" i="1"/>
  <c r="B4" i="3" s="1"/>
  <c r="G11" i="1"/>
  <c r="C8" i="3" s="1"/>
  <c r="I19" i="1"/>
  <c r="E16" i="3" s="1"/>
  <c r="I9" i="1"/>
  <c r="E6" i="3" s="1"/>
  <c r="H11" i="1"/>
  <c r="D8" i="3" s="1"/>
  <c r="G20" i="1"/>
  <c r="C17" i="3" s="1"/>
  <c r="G19" i="1"/>
  <c r="C16" i="3" s="1"/>
  <c r="G23" i="1"/>
  <c r="C20" i="3" s="1"/>
  <c r="G12" i="1"/>
  <c r="C9" i="3" s="1"/>
  <c r="H21" i="1"/>
  <c r="D18" i="3" s="1"/>
  <c r="H18" i="1"/>
  <c r="D15" i="3" s="1"/>
  <c r="G27" i="1"/>
  <c r="C24" i="3" s="1"/>
  <c r="G15" i="1"/>
  <c r="C12" i="3" s="1"/>
  <c r="I27" i="1"/>
  <c r="E24" i="3" s="1"/>
  <c r="I21" i="1"/>
  <c r="E18" i="3" s="1"/>
  <c r="I17" i="1"/>
  <c r="E14" i="3" s="1"/>
  <c r="I11" i="1"/>
  <c r="E8" i="3" s="1"/>
  <c r="I8" i="1"/>
  <c r="E5" i="3" s="1"/>
  <c r="I18" i="1"/>
  <c r="E15" i="3" s="1"/>
  <c r="I12" i="1"/>
  <c r="E9" i="3" s="1"/>
  <c r="I22" i="1"/>
  <c r="E19" i="3" s="1"/>
  <c r="I16" i="1"/>
  <c r="E13" i="3" s="1"/>
  <c r="I26" i="1"/>
  <c r="E23" i="3" s="1"/>
  <c r="I20" i="1"/>
  <c r="E17" i="3" s="1"/>
  <c r="I15" i="1"/>
  <c r="E12" i="3" s="1"/>
  <c r="I23" i="1"/>
  <c r="E20" i="3" s="1"/>
  <c r="I13" i="1"/>
  <c r="E10" i="3" s="1"/>
  <c r="I25" i="1"/>
  <c r="E22" i="3" s="1"/>
  <c r="H23" i="1"/>
  <c r="D20" i="3" s="1"/>
  <c r="H13" i="1"/>
  <c r="D10" i="3" s="1"/>
  <c r="H10" i="1"/>
  <c r="D7" i="3" s="1"/>
  <c r="H16" i="1"/>
  <c r="D13" i="3" s="1"/>
  <c r="H24" i="1"/>
  <c r="D21" i="3" s="1"/>
  <c r="H14" i="1"/>
  <c r="D11" i="3" s="1"/>
  <c r="H12" i="1"/>
  <c r="D9" i="3" s="1"/>
  <c r="H22" i="1"/>
  <c r="D19" i="3" s="1"/>
  <c r="H15" i="1"/>
  <c r="D12" i="3" s="1"/>
  <c r="H27" i="1"/>
  <c r="D24" i="3" s="1"/>
  <c r="H20" i="1"/>
  <c r="D17" i="3" s="1"/>
  <c r="H17" i="1"/>
  <c r="D14" i="3" s="1"/>
  <c r="H26" i="1"/>
  <c r="D23" i="3" s="1"/>
  <c r="H19" i="1"/>
  <c r="D16" i="3" s="1"/>
  <c r="H9" i="1"/>
  <c r="D6" i="3" s="1"/>
  <c r="H25" i="1"/>
  <c r="D22" i="3" s="1"/>
  <c r="G25" i="1"/>
  <c r="C22" i="3" s="1"/>
  <c r="G17" i="1"/>
  <c r="C14" i="3" s="1"/>
  <c r="G9" i="1"/>
  <c r="C6" i="3" s="1"/>
  <c r="G22" i="1"/>
  <c r="C19" i="3" s="1"/>
  <c r="G14" i="1"/>
  <c r="C11" i="3" s="1"/>
  <c r="G8" i="1"/>
  <c r="C5" i="3" s="1"/>
  <c r="G16" i="1"/>
  <c r="C13" i="3" s="1"/>
  <c r="G21" i="1"/>
  <c r="C18" i="3" s="1"/>
  <c r="G13" i="1"/>
  <c r="C10" i="3" s="1"/>
  <c r="G24" i="1"/>
  <c r="C21" i="3" s="1"/>
  <c r="G26" i="1"/>
  <c r="C23" i="3" s="1"/>
  <c r="G18" i="1"/>
  <c r="C15" i="3" s="1"/>
  <c r="F26" i="1"/>
  <c r="B23" i="3" s="1"/>
  <c r="F22" i="1"/>
  <c r="B19" i="3" s="1"/>
  <c r="F20" i="1"/>
  <c r="B17" i="3" s="1"/>
  <c r="F16" i="1"/>
  <c r="B13" i="3" s="1"/>
  <c r="F25" i="1"/>
  <c r="B22" i="3" s="1"/>
  <c r="F23" i="1"/>
  <c r="B20" i="3" s="1"/>
  <c r="F19" i="1"/>
  <c r="B16" i="3" s="1"/>
  <c r="F17" i="1"/>
  <c r="B14" i="3" s="1"/>
  <c r="F8" i="1"/>
  <c r="B5" i="3" s="1"/>
  <c r="F10" i="1"/>
  <c r="B7" i="3" s="1"/>
  <c r="F14" i="1"/>
  <c r="B11" i="3" s="1"/>
  <c r="F24" i="1"/>
  <c r="B21" i="3" s="1"/>
  <c r="F18" i="1"/>
  <c r="B15" i="3" s="1"/>
  <c r="F27" i="1"/>
  <c r="B24" i="3" s="1"/>
  <c r="F21" i="1"/>
  <c r="B18" i="3" s="1"/>
  <c r="F12" i="1"/>
  <c r="B9" i="3" s="1"/>
  <c r="F15" i="1"/>
  <c r="B12" i="3" s="1"/>
  <c r="F13" i="1"/>
  <c r="B10" i="3" s="1"/>
  <c r="F11" i="1"/>
  <c r="B8" i="3" s="1"/>
  <c r="F9" i="1"/>
  <c r="B6" i="3" s="1"/>
  <c r="B26" i="3" l="1"/>
  <c r="E26" i="3"/>
  <c r="C26" i="3"/>
  <c r="D26" i="3"/>
</calcChain>
</file>

<file path=xl/sharedStrings.xml><?xml version="1.0" encoding="utf-8"?>
<sst xmlns="http://schemas.openxmlformats.org/spreadsheetml/2006/main" count="29" uniqueCount="22">
  <si>
    <t>hours</t>
  </si>
  <si>
    <t>Demand</t>
  </si>
  <si>
    <t>Normalized</t>
  </si>
  <si>
    <t>Daily normalized demand curves</t>
  </si>
  <si>
    <t>Seasonal</t>
  </si>
  <si>
    <t>Nov-Feb</t>
  </si>
  <si>
    <t>March-May</t>
  </si>
  <si>
    <t>June-Aug</t>
  </si>
  <si>
    <t>SEpt-Nov</t>
  </si>
  <si>
    <t>Power demand</t>
  </si>
  <si>
    <t>kW/household</t>
  </si>
  <si>
    <t>kWh/day</t>
  </si>
  <si>
    <t xml:space="preserve">kW </t>
  </si>
  <si>
    <t>Daily avg. Demand</t>
  </si>
  <si>
    <t>Power demands</t>
  </si>
  <si>
    <t>Period 1</t>
  </si>
  <si>
    <t>Period 2</t>
  </si>
  <si>
    <t>Period 3</t>
  </si>
  <si>
    <t>Period 4</t>
  </si>
  <si>
    <t>Periods/hours of day</t>
  </si>
  <si>
    <t>New normalize</t>
  </si>
  <si>
    <t>Normalize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</si>
</sst>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1" fillId="0" borderId="0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2" xfId="0" applyFont="1" applyBorder="1"/>
    <xf numFmtId="0" fontId="0" fillId="0" borderId="0" xfId="0" applyFont="1"/>
    <xf numFmtId="0" fontId="1" fillId="2" borderId="0" xfId="0" applyFont="1" applyFill="1"/>
    <xf numFmtId="0" fontId="1" fillId="2" borderId="0" xfId="0" applyFont="1" applyFill="1" applyBorder="1"/>
    <xf numFmtId="0" fontId="0" fillId="0" borderId="0" xfId="0" applyFill="1" applyBorder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Normalization factor for daily demands</a:t>
            </a:r>
          </a:p>
        </c:rich>
      </c:tx>
      <c:layout>
        <c:manualLayout>
          <c:xMode val="edge"/>
          <c:yMode val="edge"/>
          <c:x val="0.13585069444444445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Periods!$B$1</c:f>
              <c:strCache>
                <c:ptCount val="1"/>
                <c:pt idx="0">
                  <c:v>Period 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Periods!$A$2:$A$25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Periods!$B$2:$B$25</c:f>
              <c:numCache>
                <c:formatCode>General</c:formatCode>
                <c:ptCount val="24"/>
                <c:pt idx="0">
                  <c:v>0.18443406482915503</c:v>
                </c:pt>
                <c:pt idx="1">
                  <c:v>0.16712865755396605</c:v>
                </c:pt>
                <c:pt idx="2">
                  <c:v>0.16236219605828511</c:v>
                </c:pt>
                <c:pt idx="3">
                  <c:v>0.16697912422247838</c:v>
                </c:pt>
                <c:pt idx="4">
                  <c:v>0.19058135788741942</c:v>
                </c:pt>
                <c:pt idx="5">
                  <c:v>0.22786825471956604</c:v>
                </c:pt>
                <c:pt idx="6">
                  <c:v>0.24596975053499315</c:v>
                </c:pt>
                <c:pt idx="7">
                  <c:v>0.23587843780776382</c:v>
                </c:pt>
                <c:pt idx="8">
                  <c:v>0.22782672275716778</c:v>
                </c:pt>
                <c:pt idx="9">
                  <c:v>0.23293043847216471</c:v>
                </c:pt>
                <c:pt idx="10">
                  <c:v>0.2422979967944659</c:v>
                </c:pt>
                <c:pt idx="11">
                  <c:v>0.2504540147067032</c:v>
                </c:pt>
                <c:pt idx="12">
                  <c:v>0.25113221844722383</c:v>
                </c:pt>
                <c:pt idx="13">
                  <c:v>0.24043600690795761</c:v>
                </c:pt>
                <c:pt idx="14">
                  <c:v>0.22996447713370544</c:v>
                </c:pt>
                <c:pt idx="15">
                  <c:v>0.23148360503466711</c:v>
                </c:pt>
                <c:pt idx="16">
                  <c:v>0.2450096790473861</c:v>
                </c:pt>
                <c:pt idx="17">
                  <c:v>0.28456573349325937</c:v>
                </c:pt>
                <c:pt idx="18">
                  <c:v>0.34298355323710022</c:v>
                </c:pt>
                <c:pt idx="19">
                  <c:v>0.37780948149097932</c:v>
                </c:pt>
                <c:pt idx="20">
                  <c:v>0.36932477980864975</c:v>
                </c:pt>
                <c:pt idx="21">
                  <c:v>0.33519694118903098</c:v>
                </c:pt>
                <c:pt idx="22">
                  <c:v>0.28209369085245978</c:v>
                </c:pt>
                <c:pt idx="23">
                  <c:v>0.22762664707357844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19-4E8C-8737-51A355E3FBAC}"/>
            </c:ext>
          </c:extLst>
        </c:ser>
        <c:ser>
          <c:idx val="1"/>
          <c:order val="1"/>
          <c:tx>
            <c:strRef>
              <c:f>Periods!$C$1</c:f>
              <c:strCache>
                <c:ptCount val="1"/>
                <c:pt idx="0">
                  <c:v>Period 2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Periods!$A$2:$A$25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Periods!$C$2:$C$25</c:f>
              <c:numCache>
                <c:formatCode>General</c:formatCode>
                <c:ptCount val="24"/>
                <c:pt idx="0">
                  <c:v>0.1587062877185334</c:v>
                </c:pt>
                <c:pt idx="1">
                  <c:v>0.14381491204643801</c:v>
                </c:pt>
                <c:pt idx="2">
                  <c:v>0.13971335190225542</c:v>
                </c:pt>
                <c:pt idx="3">
                  <c:v>0.14368623798640154</c:v>
                </c:pt>
                <c:pt idx="4">
                  <c:v>0.16399605922413235</c:v>
                </c:pt>
                <c:pt idx="5">
                  <c:v>0.19608159061582822</c:v>
                </c:pt>
                <c:pt idx="6">
                  <c:v>0.21165800382170838</c:v>
                </c:pt>
                <c:pt idx="7">
                  <c:v>0.2029743868194539</c:v>
                </c:pt>
                <c:pt idx="8">
                  <c:v>0.1960458521876805</c:v>
                </c:pt>
                <c:pt idx="9">
                  <c:v>0.20043762100461904</c:v>
                </c:pt>
                <c:pt idx="10">
                  <c:v>0.20849844430044795</c:v>
                </c:pt>
                <c:pt idx="11">
                  <c:v>0.21551673198291099</c:v>
                </c:pt>
                <c:pt idx="12">
                  <c:v>0.21610032915122454</c:v>
                </c:pt>
                <c:pt idx="13">
                  <c:v>0.20689619417962066</c:v>
                </c:pt>
                <c:pt idx="14">
                  <c:v>0.1978853988108524</c:v>
                </c:pt>
                <c:pt idx="15">
                  <c:v>0.19919261475252026</c:v>
                </c:pt>
                <c:pt idx="16">
                  <c:v>0.2108318582727087</c:v>
                </c:pt>
                <c:pt idx="17">
                  <c:v>0.24487000932529207</c:v>
                </c:pt>
                <c:pt idx="18">
                  <c:v>0.29513878866789128</c:v>
                </c:pt>
                <c:pt idx="19">
                  <c:v>0.32510664625778385</c:v>
                </c:pt>
                <c:pt idx="20">
                  <c:v>0.31780552481013219</c:v>
                </c:pt>
                <c:pt idx="21">
                  <c:v>0.28843837628367036</c:v>
                </c:pt>
                <c:pt idx="22">
                  <c:v>0.24274280624615022</c:v>
                </c:pt>
                <c:pt idx="23">
                  <c:v>0.19587368622129775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19-4E8C-8737-51A355E3FBAC}"/>
            </c:ext>
          </c:extLst>
        </c:ser>
        <c:ser>
          <c:idx val="2"/>
          <c:order val="2"/>
          <c:tx>
            <c:strRef>
              <c:f>Periods!$D$1</c:f>
              <c:strCache>
                <c:ptCount val="1"/>
                <c:pt idx="0">
                  <c:v>Period 3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Periods!$A$2:$A$25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Periods!$D$2:$D$25</c:f>
              <c:numCache>
                <c:formatCode>General</c:formatCode>
                <c:ptCount val="24"/>
                <c:pt idx="0">
                  <c:v>0.17079524322834355</c:v>
                </c:pt>
                <c:pt idx="1">
                  <c:v>0.15476956354997526</c:v>
                </c:pt>
                <c:pt idx="2">
                  <c:v>0.15035557987918505</c:v>
                </c:pt>
                <c:pt idx="3">
                  <c:v>0.15463108814552198</c:v>
                </c:pt>
                <c:pt idx="4">
                  <c:v>0.17648794654784555</c:v>
                </c:pt>
                <c:pt idx="5">
                  <c:v>0.21101749302601827</c:v>
                </c:pt>
                <c:pt idx="6">
                  <c:v>0.22778039083156507</c:v>
                </c:pt>
                <c:pt idx="7">
                  <c:v>0.21843532644046698</c:v>
                </c:pt>
                <c:pt idx="8">
                  <c:v>0.21097903233478899</c:v>
                </c:pt>
                <c:pt idx="9">
                  <c:v>0.21570533041708023</c:v>
                </c:pt>
                <c:pt idx="10">
                  <c:v>0.22438016173739614</c:v>
                </c:pt>
                <c:pt idx="11">
                  <c:v>0.23193304555192179</c:v>
                </c:pt>
                <c:pt idx="12">
                  <c:v>0.23256109641079048</c:v>
                </c:pt>
                <c:pt idx="13">
                  <c:v>0.22265586522064645</c:v>
                </c:pt>
                <c:pt idx="14">
                  <c:v>0.21295870067339778</c:v>
                </c:pt>
                <c:pt idx="15">
                  <c:v>0.21436548970437239</c:v>
                </c:pt>
                <c:pt idx="16">
                  <c:v>0.22689131622707517</c:v>
                </c:pt>
                <c:pt idx="17">
                  <c:v>0.26352221706686707</c:v>
                </c:pt>
                <c:pt idx="18">
                  <c:v>0.31762006358595329</c:v>
                </c:pt>
                <c:pt idx="19">
                  <c:v>0.34987062907820099</c:v>
                </c:pt>
                <c:pt idx="20">
                  <c:v>0.342013367520279</c:v>
                </c:pt>
                <c:pt idx="21">
                  <c:v>0.31040926822715309</c:v>
                </c:pt>
                <c:pt idx="22">
                  <c:v>0.2612329809406812</c:v>
                </c:pt>
                <c:pt idx="23">
                  <c:v>0.21079375216393564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19-4E8C-8737-51A355E3FBAC}"/>
            </c:ext>
          </c:extLst>
        </c:ser>
        <c:ser>
          <c:idx val="3"/>
          <c:order val="3"/>
          <c:tx>
            <c:strRef>
              <c:f>Periods!$E$1</c:f>
              <c:strCache>
                <c:ptCount val="1"/>
                <c:pt idx="0">
                  <c:v>Period 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Periods!$A$2:$A$25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Periods!$E$2:$E$25</c:f>
              <c:numCache>
                <c:formatCode>General</c:formatCode>
                <c:ptCount val="24"/>
                <c:pt idx="0">
                  <c:v>0.13700816244451516</c:v>
                </c:pt>
                <c:pt idx="1">
                  <c:v>0.12415271704008905</c:v>
                </c:pt>
                <c:pt idx="2">
                  <c:v>0.12061191707186894</c:v>
                </c:pt>
                <c:pt idx="3">
                  <c:v>0.12404163513669821</c:v>
                </c:pt>
                <c:pt idx="4">
                  <c:v>0.14157472300208299</c:v>
                </c:pt>
                <c:pt idx="5">
                  <c:v>0.16927356064882046</c:v>
                </c:pt>
                <c:pt idx="6">
                  <c:v>0.18272038611170918</c:v>
                </c:pt>
                <c:pt idx="7">
                  <c:v>0.17522398237148168</c:v>
                </c:pt>
                <c:pt idx="8">
                  <c:v>0.16924270833389604</c:v>
                </c:pt>
                <c:pt idx="9">
                  <c:v>0.17303404000789377</c:v>
                </c:pt>
                <c:pt idx="10">
                  <c:v>0.17999279761874606</c:v>
                </c:pt>
                <c:pt idx="11">
                  <c:v>0.18605155378212238</c:v>
                </c:pt>
                <c:pt idx="12">
                  <c:v>0.18655536227508054</c:v>
                </c:pt>
                <c:pt idx="13">
                  <c:v>0.17860960513162563</c:v>
                </c:pt>
                <c:pt idx="14">
                  <c:v>0.17083075444218115</c:v>
                </c:pt>
                <c:pt idx="15">
                  <c:v>0.17195924945432411</c:v>
                </c:pt>
                <c:pt idx="16">
                  <c:v>0.1820071901494868</c:v>
                </c:pt>
                <c:pt idx="17">
                  <c:v>0.2113916877378498</c:v>
                </c:pt>
                <c:pt idx="18">
                  <c:v>0.25478778240470301</c:v>
                </c:pt>
                <c:pt idx="19">
                  <c:v>0.28065847196472743</c:v>
                </c:pt>
                <c:pt idx="20">
                  <c:v>0.27435555071499695</c:v>
                </c:pt>
                <c:pt idx="21">
                  <c:v>0.24900344202613731</c:v>
                </c:pt>
                <c:pt idx="22">
                  <c:v>0.20955531320468437</c:v>
                </c:pt>
                <c:pt idx="23">
                  <c:v>0.16909408068322967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19-4E8C-8737-51A355E3F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422088"/>
        <c:axId val="392422744"/>
      </c:scatterChart>
      <c:valAx>
        <c:axId val="392422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Hours</a:t>
                </a:r>
                <a:r>
                  <a:rPr lang="de-DE" baseline="0"/>
                  <a:t> of the day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2422744"/>
        <c:crosses val="autoZero"/>
        <c:crossBetween val="midCat"/>
      </c:valAx>
      <c:valAx>
        <c:axId val="39242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Normalization factor [-]</a:t>
                </a:r>
              </a:p>
            </c:rich>
          </c:tx>
          <c:layout>
            <c:manualLayout>
              <c:xMode val="edge"/>
              <c:yMode val="edge"/>
              <c:x val="2.3148148148148147E-2"/>
              <c:y val="0.245723074089423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2422088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84001257655293093"/>
          <c:y val="0.19260708200948565"/>
          <c:w val="0.13394575678040244"/>
          <c:h val="0.315791683934245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</xdr:colOff>
      <xdr:row>29</xdr:row>
      <xdr:rowOff>167641</xdr:rowOff>
    </xdr:from>
    <xdr:to>
      <xdr:col>11</xdr:col>
      <xdr:colOff>352881</xdr:colOff>
      <xdr:row>46</xdr:row>
      <xdr:rowOff>15241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6D42BA8-3216-4CC9-AE74-299D42108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5700" y="5478781"/>
          <a:ext cx="6433641" cy="2956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298133</xdr:colOff>
      <xdr:row>4</xdr:row>
      <xdr:rowOff>88582</xdr:rowOff>
    </xdr:from>
    <xdr:to>
      <xdr:col>12</xdr:col>
      <xdr:colOff>115253</xdr:colOff>
      <xdr:row>19</xdr:row>
      <xdr:rowOff>88582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283E9BB-D9A7-4E9A-B22C-D5B885426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CB68-4976-4FF7-AF22-7F2FF0F13E04}">
  <dimension ref="A1:R29"/>
  <sheetViews>
    <sheetView tabSelected="1" workbookViewId="0">
      <selection activeCell="I4" sqref="I4"/>
    </sheetView>
  </sheetViews>
  <sheetFormatPr baseColWidth="10" defaultRowHeight="14.25" x14ac:dyDescent="0.45"/>
  <cols>
    <col min="1" max="1" width="19" customWidth="1"/>
    <col min="5" max="5" width="19.53125" customWidth="1"/>
  </cols>
  <sheetData>
    <row r="1" spans="1:18" x14ac:dyDescent="0.45">
      <c r="E1" s="2"/>
      <c r="F1" s="13" t="s">
        <v>4</v>
      </c>
      <c r="G1" s="13"/>
      <c r="H1" s="13"/>
      <c r="I1" s="13"/>
      <c r="J1" s="13"/>
      <c r="L1" s="13" t="s">
        <v>4</v>
      </c>
      <c r="M1" s="3"/>
      <c r="N1" s="3"/>
      <c r="O1" s="3"/>
      <c r="P1" s="3"/>
      <c r="Q1" s="3"/>
      <c r="R1" s="4"/>
    </row>
    <row r="2" spans="1:18" x14ac:dyDescent="0.45">
      <c r="A2" s="1" t="s">
        <v>9</v>
      </c>
      <c r="B2" s="1">
        <v>0.38</v>
      </c>
      <c r="C2" s="1" t="s">
        <v>10</v>
      </c>
      <c r="E2" s="5"/>
      <c r="F2" s="9" t="s">
        <v>8</v>
      </c>
      <c r="G2" s="9" t="s">
        <v>5</v>
      </c>
      <c r="H2" s="9" t="s">
        <v>6</v>
      </c>
      <c r="I2" s="9" t="s">
        <v>7</v>
      </c>
      <c r="J2" s="9"/>
      <c r="L2" s="9" t="s">
        <v>8</v>
      </c>
      <c r="M2" s="6"/>
      <c r="N2" s="6"/>
      <c r="O2" s="6"/>
      <c r="P2" s="6"/>
      <c r="Q2" s="6"/>
      <c r="R2" s="7"/>
    </row>
    <row r="3" spans="1:18" x14ac:dyDescent="0.45">
      <c r="A3" s="1" t="s">
        <v>3</v>
      </c>
      <c r="E3" s="8" t="s">
        <v>13</v>
      </c>
      <c r="F3" s="9">
        <v>5.95</v>
      </c>
      <c r="G3" s="9">
        <v>5.12</v>
      </c>
      <c r="H3" s="9">
        <v>5.51</v>
      </c>
      <c r="I3" s="9">
        <v>4.42</v>
      </c>
      <c r="J3" s="9" t="s">
        <v>11</v>
      </c>
      <c r="L3" s="9">
        <v>5.95</v>
      </c>
      <c r="M3" s="6"/>
      <c r="N3" s="6"/>
      <c r="O3" s="6"/>
      <c r="P3" s="6"/>
      <c r="Q3" s="6"/>
      <c r="R3" s="7"/>
    </row>
    <row r="4" spans="1:18" x14ac:dyDescent="0.45">
      <c r="B4" s="1" t="s">
        <v>0</v>
      </c>
      <c r="C4" s="1" t="s">
        <v>1</v>
      </c>
      <c r="D4" s="15" t="s">
        <v>2</v>
      </c>
      <c r="E4" s="8" t="s">
        <v>14</v>
      </c>
      <c r="F4" s="9">
        <f>F3*B2/C29</f>
        <v>0.38041592536914282</v>
      </c>
      <c r="G4" s="9">
        <f>G3/C29*B2</f>
        <v>0.32734950216638842</v>
      </c>
      <c r="H4" s="9">
        <f>H3/C29*B2</f>
        <v>0.35228432752671879</v>
      </c>
      <c r="I4" s="9">
        <f>I3/C29*B2</f>
        <v>0.28259468741707749</v>
      </c>
      <c r="J4" s="9" t="s">
        <v>12</v>
      </c>
      <c r="K4" s="16" t="s">
        <v>20</v>
      </c>
      <c r="L4" s="9">
        <f>L3*B2/H29</f>
        <v>0.41018366125117406</v>
      </c>
      <c r="M4" s="6"/>
      <c r="N4" s="6"/>
      <c r="O4" s="6"/>
      <c r="P4" s="6"/>
      <c r="Q4" s="6"/>
      <c r="R4" s="7"/>
    </row>
    <row r="5" spans="1:18" x14ac:dyDescent="0.45">
      <c r="B5" s="1">
        <v>1</v>
      </c>
      <c r="C5">
        <v>0.18423241499963716</v>
      </c>
      <c r="D5">
        <v>0.48482214473588725</v>
      </c>
      <c r="E5" s="5"/>
      <c r="F5" s="6">
        <f>D5*$F$4</f>
        <v>0.18443406482915503</v>
      </c>
      <c r="G5" s="6">
        <f t="shared" ref="G5:G28" si="0">D5*$G$4</f>
        <v>0.1587062877185334</v>
      </c>
      <c r="H5" s="6">
        <f t="shared" ref="H5:H28" si="1">D5*$H$4</f>
        <v>0.17079524322834355</v>
      </c>
      <c r="I5" s="6">
        <f t="shared" ref="I5:I28" si="2">D5*$I$4</f>
        <v>0.13700816244451516</v>
      </c>
      <c r="J5" s="6"/>
      <c r="K5" s="6">
        <f>D5*0.1</f>
        <v>4.8482214473588726E-2</v>
      </c>
      <c r="L5" s="6"/>
      <c r="M5" s="6"/>
      <c r="N5" s="6"/>
      <c r="O5" s="6"/>
      <c r="P5" s="6"/>
      <c r="Q5" s="6"/>
      <c r="R5" s="7"/>
    </row>
    <row r="6" spans="1:18" x14ac:dyDescent="0.45">
      <c r="B6" s="1">
        <v>2</v>
      </c>
      <c r="C6">
        <v>0.16694592848309442</v>
      </c>
      <c r="D6">
        <v>0.43933139074498528</v>
      </c>
      <c r="E6" s="5"/>
      <c r="F6" s="6">
        <f t="shared" ref="F6:F28" si="3">D6*$F$4</f>
        <v>0.16712865755396605</v>
      </c>
      <c r="G6" s="6">
        <f t="shared" si="0"/>
        <v>0.14381491204643801</v>
      </c>
      <c r="H6" s="6">
        <f t="shared" si="1"/>
        <v>0.15476956354997526</v>
      </c>
      <c r="I6" s="6">
        <f t="shared" si="2"/>
        <v>0.12415271704008905</v>
      </c>
      <c r="J6" s="6"/>
      <c r="K6" s="6">
        <f t="shared" ref="K6:K9" si="4">D6*0.1</f>
        <v>4.3933139074498528E-2</v>
      </c>
      <c r="L6" s="6"/>
      <c r="M6" s="6"/>
      <c r="N6" s="6"/>
      <c r="O6" s="6"/>
      <c r="P6" s="6"/>
      <c r="Q6" s="6"/>
      <c r="R6" s="7"/>
    </row>
    <row r="7" spans="1:18" x14ac:dyDescent="0.45">
      <c r="B7" s="1">
        <v>3</v>
      </c>
      <c r="C7">
        <v>0.1621846783682335</v>
      </c>
      <c r="D7">
        <v>0.42680178517956185</v>
      </c>
      <c r="E7" s="5"/>
      <c r="F7" s="6">
        <f t="shared" si="3"/>
        <v>0.16236219605828511</v>
      </c>
      <c r="G7" s="6">
        <f t="shared" si="0"/>
        <v>0.13971335190225542</v>
      </c>
      <c r="H7" s="6">
        <f t="shared" si="1"/>
        <v>0.15035557987918505</v>
      </c>
      <c r="I7" s="6">
        <f t="shared" si="2"/>
        <v>0.12061191707186894</v>
      </c>
      <c r="J7" s="6"/>
      <c r="K7" s="6">
        <f t="shared" si="4"/>
        <v>4.2680178517956191E-2</v>
      </c>
      <c r="L7" s="6"/>
      <c r="M7" s="6"/>
      <c r="N7" s="6"/>
      <c r="O7" s="6"/>
      <c r="P7" s="6"/>
      <c r="Q7" s="6"/>
      <c r="R7" s="7"/>
    </row>
    <row r="8" spans="1:18" x14ac:dyDescent="0.45">
      <c r="B8" s="1">
        <v>4</v>
      </c>
      <c r="C8">
        <v>0.16679655864293808</v>
      </c>
      <c r="D8">
        <v>0.43893831221825808</v>
      </c>
      <c r="E8" s="5"/>
      <c r="F8" s="6">
        <f t="shared" si="3"/>
        <v>0.16697912422247838</v>
      </c>
      <c r="G8" s="6">
        <f t="shared" si="0"/>
        <v>0.14368623798640154</v>
      </c>
      <c r="H8" s="6">
        <f t="shared" si="1"/>
        <v>0.15463108814552198</v>
      </c>
      <c r="I8" s="6">
        <f t="shared" si="2"/>
        <v>0.12404163513669821</v>
      </c>
      <c r="J8" s="6"/>
      <c r="K8" s="6">
        <f t="shared" si="4"/>
        <v>4.3893831221825809E-2</v>
      </c>
      <c r="L8" s="6"/>
      <c r="M8" s="6"/>
      <c r="N8" s="6"/>
      <c r="O8" s="6"/>
      <c r="P8" s="6"/>
      <c r="Q8" s="6"/>
      <c r="R8" s="7"/>
    </row>
    <row r="9" spans="1:18" x14ac:dyDescent="0.45">
      <c r="B9" s="1">
        <v>5</v>
      </c>
      <c r="C9">
        <v>0.19037298695354188</v>
      </c>
      <c r="D9">
        <v>0.50098154461458388</v>
      </c>
      <c r="E9" s="5"/>
      <c r="F9" s="6">
        <f t="shared" si="3"/>
        <v>0.19058135788741942</v>
      </c>
      <c r="G9" s="6">
        <f t="shared" si="0"/>
        <v>0.16399605922413235</v>
      </c>
      <c r="H9" s="6">
        <f t="shared" si="1"/>
        <v>0.17648794654784555</v>
      </c>
      <c r="I9" s="6">
        <f t="shared" si="2"/>
        <v>0.14157472300208299</v>
      </c>
      <c r="J9" s="6"/>
      <c r="K9" s="6">
        <f t="shared" si="4"/>
        <v>5.0098154461458391E-2</v>
      </c>
      <c r="L9" s="6"/>
      <c r="M9" s="6"/>
      <c r="N9" s="6"/>
      <c r="O9" s="6"/>
      <c r="P9" s="6"/>
      <c r="Q9" s="6"/>
      <c r="R9" s="7"/>
    </row>
    <row r="10" spans="1:18" x14ac:dyDescent="0.45">
      <c r="B10" s="1">
        <v>6</v>
      </c>
      <c r="C10">
        <v>0.2276191163905957</v>
      </c>
      <c r="D10">
        <v>0.59899767471209397</v>
      </c>
      <c r="E10" s="5"/>
      <c r="F10" s="6">
        <f t="shared" si="3"/>
        <v>0.22786825471956604</v>
      </c>
      <c r="G10" s="6">
        <f t="shared" si="0"/>
        <v>0.19608159061582822</v>
      </c>
      <c r="H10" s="6">
        <f t="shared" si="1"/>
        <v>0.21101749302601827</v>
      </c>
      <c r="I10" s="6">
        <f t="shared" si="2"/>
        <v>0.16927356064882046</v>
      </c>
      <c r="J10" s="6"/>
      <c r="K10" s="17">
        <f>D10*1.2</f>
        <v>0.71879720965451277</v>
      </c>
      <c r="L10" s="6"/>
      <c r="M10" s="6"/>
      <c r="N10" s="6"/>
      <c r="O10" s="6"/>
      <c r="P10" s="6"/>
      <c r="Q10" s="6"/>
      <c r="R10" s="7"/>
    </row>
    <row r="11" spans="1:18" x14ac:dyDescent="0.45">
      <c r="B11" s="1">
        <v>7</v>
      </c>
      <c r="C11">
        <v>0.24570082104895768</v>
      </c>
      <c r="D11">
        <v>0.64658110802357283</v>
      </c>
      <c r="E11" s="5"/>
      <c r="F11" s="6">
        <f t="shared" si="3"/>
        <v>0.24596975053499315</v>
      </c>
      <c r="G11" s="6">
        <f t="shared" si="0"/>
        <v>0.21165800382170838</v>
      </c>
      <c r="H11" s="6">
        <f t="shared" si="1"/>
        <v>0.22778039083156507</v>
      </c>
      <c r="I11" s="6">
        <f t="shared" si="2"/>
        <v>0.18272038611170918</v>
      </c>
      <c r="J11" s="6"/>
      <c r="K11" s="17">
        <f>D11*1.4</f>
        <v>0.90521355123300185</v>
      </c>
      <c r="L11" s="6"/>
      <c r="M11" s="6"/>
      <c r="N11" s="6"/>
      <c r="O11" s="6"/>
      <c r="P11" s="6"/>
      <c r="Q11" s="6"/>
      <c r="R11" s="7"/>
    </row>
    <row r="12" spans="1:18" x14ac:dyDescent="0.45">
      <c r="B12" s="1">
        <v>8</v>
      </c>
      <c r="C12">
        <v>0.23562054159528842</v>
      </c>
      <c r="D12">
        <v>0.62005405682970638</v>
      </c>
      <c r="E12" s="5"/>
      <c r="F12" s="6">
        <f t="shared" si="3"/>
        <v>0.23587843780776382</v>
      </c>
      <c r="G12" s="6">
        <f t="shared" si="0"/>
        <v>0.2029743868194539</v>
      </c>
      <c r="H12" s="6">
        <f t="shared" si="1"/>
        <v>0.21843532644046698</v>
      </c>
      <c r="I12" s="6">
        <f t="shared" si="2"/>
        <v>0.17522398237148168</v>
      </c>
      <c r="J12" s="6"/>
      <c r="K12" s="6"/>
      <c r="L12" s="6"/>
      <c r="M12" s="6"/>
      <c r="N12" s="6"/>
      <c r="O12" s="6"/>
      <c r="P12" s="6"/>
      <c r="Q12" s="6"/>
      <c r="R12" s="7"/>
    </row>
    <row r="13" spans="1:18" x14ac:dyDescent="0.45">
      <c r="B13" s="1">
        <v>9</v>
      </c>
      <c r="C13">
        <v>0.22757762983690841</v>
      </c>
      <c r="D13">
        <v>0.59888849957081158</v>
      </c>
      <c r="E13" s="5"/>
      <c r="F13" s="6">
        <f t="shared" si="3"/>
        <v>0.22782672275716778</v>
      </c>
      <c r="G13" s="6">
        <f t="shared" si="0"/>
        <v>0.1960458521876805</v>
      </c>
      <c r="H13" s="6">
        <f t="shared" si="1"/>
        <v>0.21097903233478899</v>
      </c>
      <c r="I13" s="6">
        <f t="shared" si="2"/>
        <v>0.16924270833389604</v>
      </c>
      <c r="J13" s="6"/>
      <c r="K13" s="6"/>
      <c r="L13" s="6"/>
      <c r="M13" s="6"/>
      <c r="N13" s="6"/>
      <c r="O13" s="6"/>
      <c r="P13" s="6"/>
      <c r="Q13" s="6"/>
      <c r="R13" s="7"/>
    </row>
    <row r="14" spans="1:18" x14ac:dyDescent="0.45">
      <c r="B14" s="1">
        <v>10</v>
      </c>
      <c r="C14">
        <v>0.23267576543629714</v>
      </c>
      <c r="D14">
        <v>0.61230464588499245</v>
      </c>
      <c r="E14" s="5"/>
      <c r="F14" s="6">
        <f t="shared" si="3"/>
        <v>0.23293043847216471</v>
      </c>
      <c r="G14" s="6">
        <f t="shared" si="0"/>
        <v>0.20043762100461904</v>
      </c>
      <c r="H14" s="6">
        <f t="shared" si="1"/>
        <v>0.21570533041708023</v>
      </c>
      <c r="I14" s="6">
        <f t="shared" si="2"/>
        <v>0.17303404000789377</v>
      </c>
      <c r="J14" s="6"/>
      <c r="K14" s="6"/>
      <c r="L14" s="6"/>
      <c r="M14" s="6"/>
      <c r="N14" s="6"/>
      <c r="O14" s="6"/>
      <c r="P14" s="6"/>
      <c r="Q14" s="6"/>
      <c r="R14" s="7"/>
    </row>
    <row r="15" spans="1:18" x14ac:dyDescent="0.45">
      <c r="B15" s="1">
        <v>11</v>
      </c>
      <c r="C15">
        <v>0.24203308179738339</v>
      </c>
      <c r="D15">
        <v>0.63692916262469312</v>
      </c>
      <c r="E15" s="5"/>
      <c r="F15" s="6">
        <f t="shared" si="3"/>
        <v>0.2422979967944659</v>
      </c>
      <c r="G15" s="6">
        <f t="shared" si="0"/>
        <v>0.20849844430044795</v>
      </c>
      <c r="H15" s="6">
        <f t="shared" si="1"/>
        <v>0.22438016173739614</v>
      </c>
      <c r="I15" s="6">
        <f t="shared" si="2"/>
        <v>0.17999279761874606</v>
      </c>
      <c r="J15" s="6"/>
      <c r="K15" s="6"/>
      <c r="L15" s="6"/>
      <c r="M15" s="6"/>
      <c r="N15" s="6"/>
      <c r="O15" s="6"/>
      <c r="P15" s="6"/>
      <c r="Q15" s="6"/>
      <c r="R15" s="7"/>
    </row>
    <row r="16" spans="1:18" x14ac:dyDescent="0.45">
      <c r="B16" s="1">
        <v>12</v>
      </c>
      <c r="C16">
        <v>0.25018018237852424</v>
      </c>
      <c r="D16">
        <v>0.65836890099611645</v>
      </c>
      <c r="E16" s="5"/>
      <c r="F16" s="6">
        <f t="shared" si="3"/>
        <v>0.2504540147067032</v>
      </c>
      <c r="G16" s="6">
        <f t="shared" si="0"/>
        <v>0.21551673198291099</v>
      </c>
      <c r="H16" s="6">
        <f t="shared" si="1"/>
        <v>0.23193304555192179</v>
      </c>
      <c r="I16" s="6">
        <f t="shared" si="2"/>
        <v>0.18605155378212238</v>
      </c>
      <c r="J16" s="6"/>
      <c r="K16" s="6"/>
      <c r="L16" s="6"/>
      <c r="M16" s="6"/>
      <c r="N16" s="6"/>
      <c r="O16" s="6"/>
      <c r="P16" s="6"/>
      <c r="Q16" s="6"/>
      <c r="R16" s="7"/>
    </row>
    <row r="17" spans="2:18" x14ac:dyDescent="0.45">
      <c r="B17" s="1">
        <v>13</v>
      </c>
      <c r="C17">
        <v>0.25085764460923332</v>
      </c>
      <c r="D17">
        <v>0.66015169634008775</v>
      </c>
      <c r="E17" s="5"/>
      <c r="F17" s="6">
        <f t="shared" si="3"/>
        <v>0.25113221844722383</v>
      </c>
      <c r="G17" s="6">
        <f t="shared" si="0"/>
        <v>0.21610032915122454</v>
      </c>
      <c r="H17" s="6">
        <f t="shared" si="1"/>
        <v>0.23256109641079048</v>
      </c>
      <c r="I17" s="6">
        <f t="shared" si="2"/>
        <v>0.18655536227508054</v>
      </c>
      <c r="J17" s="6"/>
      <c r="K17" s="6"/>
      <c r="L17" s="6"/>
      <c r="M17" s="6"/>
      <c r="N17" s="6"/>
      <c r="O17" s="6"/>
      <c r="P17" s="6"/>
      <c r="Q17" s="6"/>
      <c r="R17" s="7"/>
    </row>
    <row r="18" spans="2:18" x14ac:dyDescent="0.45">
      <c r="B18" s="1">
        <v>14</v>
      </c>
      <c r="C18">
        <v>0.24017312770585436</v>
      </c>
      <c r="D18">
        <v>0.63203454659435354</v>
      </c>
      <c r="E18" s="5"/>
      <c r="F18" s="6">
        <f t="shared" si="3"/>
        <v>0.24043600690795761</v>
      </c>
      <c r="G18" s="6">
        <f t="shared" si="0"/>
        <v>0.20689619417962066</v>
      </c>
      <c r="H18" s="6">
        <f t="shared" si="1"/>
        <v>0.22265586522064645</v>
      </c>
      <c r="I18" s="6">
        <f t="shared" si="2"/>
        <v>0.17860960513162563</v>
      </c>
      <c r="J18" s="6"/>
      <c r="K18" s="6"/>
      <c r="L18" s="6"/>
      <c r="M18" s="6"/>
      <c r="N18" s="6"/>
      <c r="O18" s="6"/>
      <c r="P18" s="6"/>
      <c r="Q18" s="6"/>
      <c r="R18" s="7"/>
    </row>
    <row r="19" spans="2:18" x14ac:dyDescent="0.45">
      <c r="B19" s="1">
        <v>15</v>
      </c>
      <c r="C19">
        <v>0.23123051388507571</v>
      </c>
      <c r="D19">
        <v>0.60450801819233946</v>
      </c>
      <c r="E19" s="5"/>
      <c r="F19" s="6">
        <f t="shared" si="3"/>
        <v>0.22996447713370544</v>
      </c>
      <c r="G19" s="6">
        <f t="shared" si="0"/>
        <v>0.1978853988108524</v>
      </c>
      <c r="H19" s="6">
        <f t="shared" si="1"/>
        <v>0.21295870067339778</v>
      </c>
      <c r="I19" s="6">
        <f t="shared" si="2"/>
        <v>0.17083075444218115</v>
      </c>
      <c r="J19" s="6"/>
      <c r="K19" s="6"/>
      <c r="L19" s="6"/>
      <c r="M19" s="6"/>
      <c r="N19" s="6"/>
      <c r="O19" s="6"/>
      <c r="P19" s="6"/>
      <c r="Q19" s="6"/>
      <c r="R19" s="7"/>
    </row>
    <row r="20" spans="2:18" x14ac:dyDescent="0.45">
      <c r="B20" s="1">
        <v>16</v>
      </c>
      <c r="C20">
        <v>0.24474179924949788</v>
      </c>
      <c r="D20">
        <v>0.60850135232914659</v>
      </c>
      <c r="E20" s="5"/>
      <c r="F20" s="6">
        <f t="shared" si="3"/>
        <v>0.23148360503466711</v>
      </c>
      <c r="G20" s="6">
        <f t="shared" si="0"/>
        <v>0.19919261475252026</v>
      </c>
      <c r="H20" s="6">
        <f t="shared" si="1"/>
        <v>0.21436548970437239</v>
      </c>
      <c r="I20" s="6">
        <f t="shared" si="2"/>
        <v>0.17195924945432411</v>
      </c>
      <c r="J20" s="6"/>
      <c r="K20" s="6"/>
      <c r="L20" s="6"/>
      <c r="M20" s="6"/>
      <c r="N20" s="6"/>
      <c r="O20" s="6"/>
      <c r="P20" s="6"/>
      <c r="Q20" s="6"/>
      <c r="R20" s="7"/>
    </row>
    <row r="21" spans="2:18" x14ac:dyDescent="0.45">
      <c r="B21" s="1">
        <v>17</v>
      </c>
      <c r="C21">
        <v>0.28425460533101504</v>
      </c>
      <c r="D21">
        <v>0.64405736644604705</v>
      </c>
      <c r="E21" s="5"/>
      <c r="F21" s="6">
        <f t="shared" si="3"/>
        <v>0.2450096790473861</v>
      </c>
      <c r="G21" s="6">
        <f t="shared" si="0"/>
        <v>0.2108318582727087</v>
      </c>
      <c r="H21" s="6">
        <f t="shared" si="1"/>
        <v>0.22689131622707517</v>
      </c>
      <c r="I21" s="6">
        <f t="shared" si="2"/>
        <v>0.1820071901494868</v>
      </c>
      <c r="J21" s="6"/>
      <c r="K21" s="6"/>
      <c r="L21" s="6"/>
      <c r="M21" s="6"/>
      <c r="N21" s="6"/>
      <c r="O21" s="6"/>
      <c r="P21" s="6"/>
      <c r="Q21" s="6"/>
      <c r="R21" s="7"/>
    </row>
    <row r="22" spans="2:18" x14ac:dyDescent="0.45">
      <c r="B22" s="1">
        <v>18</v>
      </c>
      <c r="C22">
        <v>0.3426085543175581</v>
      </c>
      <c r="D22">
        <v>0.74803843508161849</v>
      </c>
      <c r="E22" s="5"/>
      <c r="F22" s="6">
        <f t="shared" si="3"/>
        <v>0.28456573349325937</v>
      </c>
      <c r="G22" s="6">
        <f t="shared" si="0"/>
        <v>0.24487000932529207</v>
      </c>
      <c r="H22" s="6">
        <f t="shared" si="1"/>
        <v>0.26352221706686707</v>
      </c>
      <c r="I22" s="6">
        <f t="shared" si="2"/>
        <v>0.2113916877378498</v>
      </c>
      <c r="J22" s="6"/>
      <c r="K22" s="6"/>
      <c r="L22" s="6"/>
      <c r="M22" s="6"/>
      <c r="N22" s="6"/>
      <c r="O22" s="6"/>
      <c r="P22" s="6"/>
      <c r="Q22" s="6"/>
      <c r="R22" s="7"/>
    </row>
    <row r="23" spans="2:18" x14ac:dyDescent="0.45">
      <c r="B23" s="1">
        <v>19</v>
      </c>
      <c r="C23">
        <v>0.37739640586092438</v>
      </c>
      <c r="D23">
        <v>0.90160145873041597</v>
      </c>
      <c r="E23" s="5"/>
      <c r="F23" s="6">
        <f t="shared" si="3"/>
        <v>0.34298355323710022</v>
      </c>
      <c r="G23" s="6">
        <f t="shared" si="0"/>
        <v>0.29513878866789128</v>
      </c>
      <c r="H23" s="6">
        <f t="shared" si="1"/>
        <v>0.31762006358595329</v>
      </c>
      <c r="I23" s="6">
        <f t="shared" si="2"/>
        <v>0.25478778240470301</v>
      </c>
      <c r="J23" s="6"/>
      <c r="K23" s="6"/>
      <c r="L23" s="6"/>
      <c r="M23" s="6"/>
      <c r="N23" s="6"/>
      <c r="O23" s="6"/>
      <c r="P23" s="6"/>
      <c r="Q23" s="6"/>
      <c r="R23" s="7"/>
    </row>
    <row r="24" spans="2:18" x14ac:dyDescent="0.45">
      <c r="B24" s="1">
        <v>20</v>
      </c>
      <c r="C24">
        <v>0.36892098087403252</v>
      </c>
      <c r="D24">
        <v>0.99314843647611672</v>
      </c>
      <c r="E24" s="5"/>
      <c r="F24" s="6">
        <f t="shared" si="3"/>
        <v>0.37780948149097932</v>
      </c>
      <c r="G24" s="6">
        <f t="shared" si="0"/>
        <v>0.32510664625778385</v>
      </c>
      <c r="H24" s="6">
        <f t="shared" si="1"/>
        <v>0.34987062907820099</v>
      </c>
      <c r="I24" s="6">
        <f t="shared" si="2"/>
        <v>0.28065847196472743</v>
      </c>
      <c r="J24" s="6"/>
      <c r="K24" s="6"/>
      <c r="L24" s="6"/>
      <c r="M24" s="6"/>
      <c r="N24" s="6"/>
      <c r="O24" s="6"/>
      <c r="P24" s="6"/>
      <c r="Q24" s="6"/>
      <c r="R24" s="7"/>
    </row>
    <row r="25" spans="2:18" x14ac:dyDescent="0.45">
      <c r="B25" s="1">
        <v>21</v>
      </c>
      <c r="C25">
        <v>0.33483045571299763</v>
      </c>
      <c r="D25">
        <v>0.97084468651061184</v>
      </c>
      <c r="E25" s="5"/>
      <c r="F25" s="6">
        <f t="shared" si="3"/>
        <v>0.36932477980864975</v>
      </c>
      <c r="G25" s="6">
        <f t="shared" si="0"/>
        <v>0.31780552481013219</v>
      </c>
      <c r="H25" s="6">
        <f t="shared" si="1"/>
        <v>0.342013367520279</v>
      </c>
      <c r="I25" s="6">
        <f t="shared" si="2"/>
        <v>0.27435555071499695</v>
      </c>
      <c r="J25" s="6"/>
      <c r="K25" s="6"/>
      <c r="L25" s="6"/>
      <c r="M25" s="6"/>
      <c r="N25" s="6"/>
      <c r="O25" s="6"/>
      <c r="P25" s="6"/>
      <c r="Q25" s="6"/>
      <c r="R25" s="7"/>
    </row>
    <row r="26" spans="2:18" x14ac:dyDescent="0.45">
      <c r="B26" s="1">
        <v>22</v>
      </c>
      <c r="C26">
        <v>0.28178526548255228</v>
      </c>
      <c r="D26">
        <v>0.88113277819209901</v>
      </c>
      <c r="E26" s="5"/>
      <c r="F26" s="6">
        <f t="shared" si="3"/>
        <v>0.33519694118903098</v>
      </c>
      <c r="G26" s="6">
        <f t="shared" si="0"/>
        <v>0.28843837628367036</v>
      </c>
      <c r="H26" s="6">
        <f t="shared" si="1"/>
        <v>0.31040926822715309</v>
      </c>
      <c r="I26" s="6">
        <f t="shared" si="2"/>
        <v>0.24900344202613731</v>
      </c>
      <c r="J26" s="6"/>
      <c r="K26" s="6"/>
      <c r="L26" s="6"/>
      <c r="M26" s="6"/>
      <c r="N26" s="6"/>
      <c r="O26" s="6"/>
      <c r="P26" s="6"/>
      <c r="Q26" s="6"/>
      <c r="R26" s="7"/>
    </row>
    <row r="27" spans="2:18" x14ac:dyDescent="0.45">
      <c r="B27" s="1">
        <v>23</v>
      </c>
      <c r="C27">
        <v>0.22737777290481448</v>
      </c>
      <c r="D27">
        <v>0.74154017232250602</v>
      </c>
      <c r="E27" s="5"/>
      <c r="F27" s="6">
        <f t="shared" si="3"/>
        <v>0.28209369085245978</v>
      </c>
      <c r="G27" s="6">
        <f t="shared" si="0"/>
        <v>0.24274280624615022</v>
      </c>
      <c r="H27" s="6">
        <f t="shared" si="1"/>
        <v>0.2612329809406812</v>
      </c>
      <c r="I27" s="6">
        <f t="shared" si="2"/>
        <v>0.20955531320468437</v>
      </c>
      <c r="J27" s="6"/>
      <c r="K27" s="6"/>
      <c r="L27" s="6"/>
      <c r="M27" s="6"/>
      <c r="N27" s="6"/>
      <c r="O27" s="6"/>
      <c r="P27" s="6"/>
      <c r="Q27" s="6"/>
      <c r="R27" s="7"/>
    </row>
    <row r="28" spans="2:18" x14ac:dyDescent="0.45">
      <c r="B28" s="1">
        <v>24</v>
      </c>
      <c r="C28" s="14">
        <v>0.22737777290481448</v>
      </c>
      <c r="D28" s="14">
        <v>0.59836256027582757</v>
      </c>
      <c r="E28" s="5"/>
      <c r="F28" s="6">
        <f t="shared" si="3"/>
        <v>0.22762664707357844</v>
      </c>
      <c r="G28" s="6">
        <f t="shared" si="0"/>
        <v>0.19587368622129775</v>
      </c>
      <c r="H28" s="6">
        <f t="shared" si="1"/>
        <v>0.21079375216393564</v>
      </c>
      <c r="I28" s="6">
        <f t="shared" si="2"/>
        <v>0.16909408068322967</v>
      </c>
      <c r="K28" s="6"/>
      <c r="L28" s="6"/>
      <c r="M28" s="6"/>
      <c r="N28" s="6"/>
      <c r="O28" s="6"/>
      <c r="P28" s="6"/>
      <c r="Q28" s="6"/>
      <c r="R28" s="7"/>
    </row>
    <row r="29" spans="2:18" ht="14.65" thickBot="1" x14ac:dyDescent="0.5">
      <c r="C29" s="1">
        <v>5.9434946047697705</v>
      </c>
      <c r="E29" s="10"/>
      <c r="F29" s="9">
        <f>SUM(F5:F28)</f>
        <v>5.9523378300601264</v>
      </c>
      <c r="G29" s="9">
        <f>SUM(G5:G28)</f>
        <v>5.1220117125895541</v>
      </c>
      <c r="H29" s="9">
        <f>SUM(H5:H28)</f>
        <v>5.5121649485094615</v>
      </c>
      <c r="I29" s="9">
        <f>SUM(I5:I28)</f>
        <v>4.4217366737589501</v>
      </c>
      <c r="J29" s="6" t="s">
        <v>11</v>
      </c>
      <c r="K29" s="11"/>
      <c r="L29" s="11"/>
      <c r="M29" s="11"/>
      <c r="N29" s="11"/>
      <c r="O29" s="11"/>
      <c r="P29" s="11"/>
      <c r="Q29" s="11"/>
      <c r="R29" s="1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937A-97AB-4D40-8179-94E3950801DD}">
  <dimension ref="A1:K26"/>
  <sheetViews>
    <sheetView topLeftCell="C4" workbookViewId="0">
      <selection activeCell="N13" sqref="N13"/>
    </sheetView>
  </sheetViews>
  <sheetFormatPr baseColWidth="10" defaultRowHeight="14.25" x14ac:dyDescent="0.45"/>
  <cols>
    <col min="1" max="1" width="20.6640625" customWidth="1"/>
    <col min="6" max="6" width="12" bestFit="1" customWidth="1"/>
  </cols>
  <sheetData>
    <row r="1" spans="1:11" x14ac:dyDescent="0.45">
      <c r="A1" t="s">
        <v>19</v>
      </c>
      <c r="B1" t="s">
        <v>15</v>
      </c>
      <c r="C1" t="s">
        <v>16</v>
      </c>
      <c r="D1" t="s">
        <v>17</v>
      </c>
      <c r="E1" t="s">
        <v>18</v>
      </c>
      <c r="G1" t="s">
        <v>21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45">
      <c r="A2">
        <v>1</v>
      </c>
      <c r="B2">
        <f>Tabelle1!F5</f>
        <v>0.18443406482915503</v>
      </c>
      <c r="C2">
        <f>Tabelle1!G5</f>
        <v>0.1587062877185334</v>
      </c>
      <c r="D2">
        <f>Tabelle1!H5</f>
        <v>0.17079524322834355</v>
      </c>
      <c r="E2">
        <f>Tabelle1!I5</f>
        <v>0.13700816244451516</v>
      </c>
      <c r="G2">
        <v>0.01</v>
      </c>
      <c r="H2">
        <f>$B$26/24*0.01</f>
        <v>2.4801407625250527E-3</v>
      </c>
    </row>
    <row r="3" spans="1:11" x14ac:dyDescent="0.45">
      <c r="A3">
        <v>2</v>
      </c>
      <c r="B3">
        <f>Tabelle1!F6</f>
        <v>0.16712865755396605</v>
      </c>
      <c r="C3">
        <f>Tabelle1!G6</f>
        <v>0.14381491204643801</v>
      </c>
      <c r="D3">
        <f>Tabelle1!H6</f>
        <v>0.15476956354997526</v>
      </c>
      <c r="E3">
        <f>Tabelle1!I6</f>
        <v>0.12415271704008905</v>
      </c>
      <c r="G3">
        <v>1.4999999999999999E-2</v>
      </c>
    </row>
    <row r="4" spans="1:11" x14ac:dyDescent="0.45">
      <c r="A4">
        <v>3</v>
      </c>
      <c r="B4">
        <f>Tabelle1!F7</f>
        <v>0.16236219605828511</v>
      </c>
      <c r="C4">
        <f>Tabelle1!G7</f>
        <v>0.13971335190225542</v>
      </c>
      <c r="D4">
        <f>Tabelle1!H7</f>
        <v>0.15035557987918505</v>
      </c>
      <c r="E4">
        <f>Tabelle1!I7</f>
        <v>0.12061191707186894</v>
      </c>
      <c r="G4">
        <v>1.4999999999999999E-2</v>
      </c>
    </row>
    <row r="5" spans="1:11" x14ac:dyDescent="0.45">
      <c r="A5">
        <v>4</v>
      </c>
      <c r="B5">
        <f>Tabelle1!F8</f>
        <v>0.16697912422247838</v>
      </c>
      <c r="C5">
        <f>Tabelle1!G8</f>
        <v>0.14368623798640154</v>
      </c>
      <c r="D5">
        <f>Tabelle1!H8</f>
        <v>0.15463108814552198</v>
      </c>
      <c r="E5">
        <f>Tabelle1!I8</f>
        <v>0.12404163513669821</v>
      </c>
      <c r="G5">
        <v>0.02</v>
      </c>
    </row>
    <row r="6" spans="1:11" x14ac:dyDescent="0.45">
      <c r="A6">
        <v>5</v>
      </c>
      <c r="B6">
        <f>Tabelle1!F9</f>
        <v>0.19058135788741942</v>
      </c>
      <c r="C6">
        <f>Tabelle1!G9</f>
        <v>0.16399605922413235</v>
      </c>
      <c r="D6">
        <f>Tabelle1!H9</f>
        <v>0.17648794654784555</v>
      </c>
      <c r="E6">
        <f>Tabelle1!I9</f>
        <v>0.14157472300208299</v>
      </c>
      <c r="G6">
        <v>0.5</v>
      </c>
    </row>
    <row r="7" spans="1:11" x14ac:dyDescent="0.45">
      <c r="A7" s="18">
        <v>6</v>
      </c>
      <c r="B7">
        <f>Tabelle1!F10</f>
        <v>0.22786825471956604</v>
      </c>
      <c r="C7">
        <f>Tabelle1!G10</f>
        <v>0.19608159061582822</v>
      </c>
      <c r="D7">
        <f>Tabelle1!H10</f>
        <v>0.21101749302601827</v>
      </c>
      <c r="E7">
        <f>Tabelle1!I10</f>
        <v>0.16927356064882046</v>
      </c>
      <c r="G7">
        <v>1.2</v>
      </c>
    </row>
    <row r="8" spans="1:11" x14ac:dyDescent="0.45">
      <c r="A8" s="18">
        <v>7</v>
      </c>
      <c r="B8">
        <f>Tabelle1!F11</f>
        <v>0.24596975053499315</v>
      </c>
      <c r="C8">
        <f>Tabelle1!G11</f>
        <v>0.21165800382170838</v>
      </c>
      <c r="D8">
        <f>Tabelle1!H11</f>
        <v>0.22778039083156507</v>
      </c>
      <c r="E8">
        <f>Tabelle1!I11</f>
        <v>0.18272038611170918</v>
      </c>
      <c r="G8">
        <v>1.3</v>
      </c>
    </row>
    <row r="9" spans="1:11" x14ac:dyDescent="0.45">
      <c r="A9" s="18">
        <v>8</v>
      </c>
      <c r="B9">
        <f>Tabelle1!F12</f>
        <v>0.23587843780776382</v>
      </c>
      <c r="C9">
        <f>Tabelle1!G12</f>
        <v>0.2029743868194539</v>
      </c>
      <c r="D9">
        <f>Tabelle1!H12</f>
        <v>0.21843532644046698</v>
      </c>
      <c r="E9">
        <f>Tabelle1!I12</f>
        <v>0.17522398237148168</v>
      </c>
      <c r="G9">
        <v>1.4</v>
      </c>
    </row>
    <row r="10" spans="1:11" x14ac:dyDescent="0.45">
      <c r="A10" s="18">
        <v>9</v>
      </c>
      <c r="B10">
        <f>Tabelle1!F13</f>
        <v>0.22782672275716778</v>
      </c>
      <c r="C10">
        <f>Tabelle1!G13</f>
        <v>0.1960458521876805</v>
      </c>
      <c r="D10">
        <f>Tabelle1!H13</f>
        <v>0.21097903233478899</v>
      </c>
      <c r="E10">
        <f>Tabelle1!I13</f>
        <v>0.16924270833389604</v>
      </c>
      <c r="G10">
        <v>1.2</v>
      </c>
    </row>
    <row r="11" spans="1:11" x14ac:dyDescent="0.45">
      <c r="A11">
        <v>10</v>
      </c>
      <c r="B11">
        <f>Tabelle1!F14</f>
        <v>0.23293043847216471</v>
      </c>
      <c r="C11">
        <f>Tabelle1!G14</f>
        <v>0.20043762100461904</v>
      </c>
      <c r="D11">
        <f>Tabelle1!H14</f>
        <v>0.21570533041708023</v>
      </c>
      <c r="E11">
        <f>Tabelle1!I14</f>
        <v>0.17303404000789377</v>
      </c>
    </row>
    <row r="12" spans="1:11" x14ac:dyDescent="0.45">
      <c r="A12">
        <v>11</v>
      </c>
      <c r="B12">
        <f>Tabelle1!F15</f>
        <v>0.2422979967944659</v>
      </c>
      <c r="C12">
        <f>Tabelle1!G15</f>
        <v>0.20849844430044795</v>
      </c>
      <c r="D12">
        <f>Tabelle1!H15</f>
        <v>0.22438016173739614</v>
      </c>
      <c r="E12">
        <f>Tabelle1!I15</f>
        <v>0.17999279761874606</v>
      </c>
    </row>
    <row r="13" spans="1:11" x14ac:dyDescent="0.45">
      <c r="A13" s="18">
        <v>12</v>
      </c>
      <c r="B13">
        <f>Tabelle1!F16</f>
        <v>0.2504540147067032</v>
      </c>
      <c r="C13">
        <f>Tabelle1!G16</f>
        <v>0.21551673198291099</v>
      </c>
      <c r="D13">
        <f>Tabelle1!H16</f>
        <v>0.23193304555192179</v>
      </c>
      <c r="E13">
        <f>Tabelle1!I16</f>
        <v>0.18605155378212238</v>
      </c>
    </row>
    <row r="14" spans="1:11" x14ac:dyDescent="0.45">
      <c r="A14" s="18">
        <v>13</v>
      </c>
      <c r="B14">
        <f>Tabelle1!F17</f>
        <v>0.25113221844722383</v>
      </c>
      <c r="C14">
        <f>Tabelle1!G17</f>
        <v>0.21610032915122454</v>
      </c>
      <c r="D14">
        <f>Tabelle1!H17</f>
        <v>0.23256109641079048</v>
      </c>
      <c r="E14">
        <f>Tabelle1!I17</f>
        <v>0.18655536227508054</v>
      </c>
    </row>
    <row r="15" spans="1:11" x14ac:dyDescent="0.45">
      <c r="A15" s="18">
        <v>14</v>
      </c>
      <c r="B15">
        <f>Tabelle1!F18</f>
        <v>0.24043600690795761</v>
      </c>
      <c r="C15">
        <f>Tabelle1!G18</f>
        <v>0.20689619417962066</v>
      </c>
      <c r="D15">
        <f>Tabelle1!H18</f>
        <v>0.22265586522064645</v>
      </c>
      <c r="E15">
        <f>Tabelle1!I18</f>
        <v>0.17860960513162563</v>
      </c>
    </row>
    <row r="16" spans="1:11" x14ac:dyDescent="0.45">
      <c r="A16" s="18">
        <v>15</v>
      </c>
      <c r="B16">
        <f>Tabelle1!F19</f>
        <v>0.22996447713370544</v>
      </c>
      <c r="C16">
        <f>Tabelle1!G19</f>
        <v>0.1978853988108524</v>
      </c>
      <c r="D16">
        <f>Tabelle1!H19</f>
        <v>0.21295870067339778</v>
      </c>
      <c r="E16">
        <f>Tabelle1!I19</f>
        <v>0.17083075444218115</v>
      </c>
    </row>
    <row r="17" spans="1:5" x14ac:dyDescent="0.45">
      <c r="A17">
        <v>16</v>
      </c>
      <c r="B17">
        <f>Tabelle1!F20</f>
        <v>0.23148360503466711</v>
      </c>
      <c r="C17">
        <f>Tabelle1!G20</f>
        <v>0.19919261475252026</v>
      </c>
      <c r="D17">
        <f>Tabelle1!H20</f>
        <v>0.21436548970437239</v>
      </c>
      <c r="E17">
        <f>Tabelle1!I20</f>
        <v>0.17195924945432411</v>
      </c>
    </row>
    <row r="18" spans="1:5" x14ac:dyDescent="0.45">
      <c r="A18">
        <v>17</v>
      </c>
      <c r="B18">
        <f>Tabelle1!F21</f>
        <v>0.2450096790473861</v>
      </c>
      <c r="C18">
        <f>Tabelle1!G21</f>
        <v>0.2108318582727087</v>
      </c>
      <c r="D18">
        <f>Tabelle1!H21</f>
        <v>0.22689131622707517</v>
      </c>
      <c r="E18">
        <f>Tabelle1!I21</f>
        <v>0.1820071901494868</v>
      </c>
    </row>
    <row r="19" spans="1:5" x14ac:dyDescent="0.45">
      <c r="A19" s="19">
        <v>18</v>
      </c>
      <c r="B19">
        <f>Tabelle1!F22</f>
        <v>0.28456573349325937</v>
      </c>
      <c r="C19">
        <f>Tabelle1!G22</f>
        <v>0.24487000932529207</v>
      </c>
      <c r="D19">
        <f>Tabelle1!H22</f>
        <v>0.26352221706686707</v>
      </c>
      <c r="E19">
        <f>Tabelle1!I22</f>
        <v>0.2113916877378498</v>
      </c>
    </row>
    <row r="20" spans="1:5" x14ac:dyDescent="0.45">
      <c r="A20" s="19">
        <v>19</v>
      </c>
      <c r="B20">
        <f>Tabelle1!F23</f>
        <v>0.34298355323710022</v>
      </c>
      <c r="C20">
        <f>Tabelle1!G23</f>
        <v>0.29513878866789128</v>
      </c>
      <c r="D20">
        <f>Tabelle1!H23</f>
        <v>0.31762006358595329</v>
      </c>
      <c r="E20">
        <f>Tabelle1!I23</f>
        <v>0.25478778240470301</v>
      </c>
    </row>
    <row r="21" spans="1:5" x14ac:dyDescent="0.45">
      <c r="A21" s="19">
        <v>20</v>
      </c>
      <c r="B21">
        <f>Tabelle1!F24</f>
        <v>0.37780948149097932</v>
      </c>
      <c r="C21">
        <f>Tabelle1!G24</f>
        <v>0.32510664625778385</v>
      </c>
      <c r="D21">
        <f>Tabelle1!H24</f>
        <v>0.34987062907820099</v>
      </c>
      <c r="E21">
        <f>Tabelle1!I24</f>
        <v>0.28065847196472743</v>
      </c>
    </row>
    <row r="22" spans="1:5" x14ac:dyDescent="0.45">
      <c r="A22" s="19">
        <v>21</v>
      </c>
      <c r="B22">
        <f>Tabelle1!F25</f>
        <v>0.36932477980864975</v>
      </c>
      <c r="C22">
        <f>Tabelle1!G25</f>
        <v>0.31780552481013219</v>
      </c>
      <c r="D22">
        <f>Tabelle1!H25</f>
        <v>0.342013367520279</v>
      </c>
      <c r="E22">
        <f>Tabelle1!I25</f>
        <v>0.27435555071499695</v>
      </c>
    </row>
    <row r="23" spans="1:5" x14ac:dyDescent="0.45">
      <c r="A23" s="19">
        <v>22</v>
      </c>
      <c r="B23">
        <f>Tabelle1!F26</f>
        <v>0.33519694118903098</v>
      </c>
      <c r="C23">
        <f>Tabelle1!G26</f>
        <v>0.28843837628367036</v>
      </c>
      <c r="D23">
        <f>Tabelle1!H26</f>
        <v>0.31040926822715309</v>
      </c>
      <c r="E23">
        <f>Tabelle1!I26</f>
        <v>0.24900344202613731</v>
      </c>
    </row>
    <row r="24" spans="1:5" x14ac:dyDescent="0.45">
      <c r="A24">
        <v>23</v>
      </c>
      <c r="B24">
        <f>Tabelle1!F27</f>
        <v>0.28209369085245978</v>
      </c>
      <c r="C24">
        <f>Tabelle1!G27</f>
        <v>0.24274280624615022</v>
      </c>
      <c r="D24">
        <f>Tabelle1!H27</f>
        <v>0.2612329809406812</v>
      </c>
      <c r="E24">
        <f>Tabelle1!I27</f>
        <v>0.20955531320468437</v>
      </c>
    </row>
    <row r="25" spans="1:5" x14ac:dyDescent="0.45">
      <c r="A25">
        <v>24</v>
      </c>
      <c r="B25">
        <f>Tabelle1!F28</f>
        <v>0.22762664707357844</v>
      </c>
      <c r="C25">
        <f>Tabelle1!G28</f>
        <v>0.19587368622129775</v>
      </c>
      <c r="D25">
        <f>Tabelle1!H28</f>
        <v>0.21079375216393564</v>
      </c>
      <c r="E25">
        <f>Tabelle1!I28</f>
        <v>0.16909408068322967</v>
      </c>
    </row>
    <row r="26" spans="1:5" x14ac:dyDescent="0.45">
      <c r="B26" s="15">
        <f>SUM(B2:B25)</f>
        <v>5.9523378300601264</v>
      </c>
      <c r="C26" s="15">
        <f t="shared" ref="C26:E26" si="0">SUM(C2:C25)</f>
        <v>5.1220117125895541</v>
      </c>
      <c r="D26" s="15">
        <f t="shared" si="0"/>
        <v>5.5121649485094615</v>
      </c>
      <c r="E26" s="15">
        <f t="shared" si="0"/>
        <v>4.4217366737589501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Periods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Herena</dc:creator>
  <cp:lastModifiedBy>Herena</cp:lastModifiedBy>
  <dcterms:created xsi:type="dcterms:W3CDTF">2022-11-25T15:42:10Z</dcterms:created>
  <dcterms:modified xsi:type="dcterms:W3CDTF">2023-09-22T07:45:43Z</dcterms:modified>
</cp:coreProperties>
</file>