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na\Nextcloud\Lehre\ResilientEnergySystems\2022 WiSe_RES\SanRafael_files_2022\"/>
    </mc:Choice>
  </mc:AlternateContent>
  <xr:revisionPtr revIDLastSave="0" documentId="13_ncr:1_{A799F008-3B82-4228-8392-29883B7E2F25}" xr6:coauthVersionLast="36" xr6:coauthVersionMax="47" xr10:uidLastSave="{00000000-0000-0000-0000-000000000000}"/>
  <bookViews>
    <workbookView xWindow="-120" yWindow="-120" windowWidth="29040" windowHeight="15840" xr2:uid="{F3FE2FDB-658B-48E3-80A0-C16AED294F26}"/>
  </bookViews>
  <sheets>
    <sheet name="Hoja1" sheetId="1" r:id="rId1"/>
  </sheets>
  <externalReferences>
    <externalReference r:id="rId2"/>
    <externalReference r:id="rId3"/>
    <externalReference r:id="rId4"/>
  </externalReferences>
  <definedNames>
    <definedName name="alumbrado">[1]consulta!#REF!</definedName>
    <definedName name="alumbradogde">[2]hoja17!$S$27:$T$29</definedName>
    <definedName name="curvaA">[3]Curvas_Carga_Regional_Ant_PU!#REF!</definedName>
    <definedName name="curvaB">[3]Curvas_Carga_Regional_Ant_PU!#REF!</definedName>
    <definedName name="curvaC">[3]Curvas_Carga_Regional_Ant_PU!#REF!</definedName>
    <definedName name="curvaD">[3]Curvas_Carga_Regional_Ant_PU!#REF!</definedName>
    <definedName name="curvaF">[3]Curvas_Carga_Regional_Ant_PU!#REF!</definedName>
    <definedName name="curvaG">[3]Curvas_Carga_Regional_Ant_PU!#REF!</definedName>
    <definedName name="curvaH">[3]Curvas_Carga_Regional_Ant_PU!#REF!</definedName>
    <definedName name="datos">[3]Curvas_Carga_Regional_Ant_PU!#REF!</definedName>
    <definedName name="estratogde">[2]hoja17!$N$27:$P$34</definedName>
    <definedName name="matriz">[3]Curvas_Carga_Regional_Ant_PU!#REF!</definedName>
    <definedName name="matriz2">[3]Curvas_Carga_Regional_Ant_PU!#REF!</definedName>
    <definedName name="matriz3">[3]Curvas_Carga_Regional_Ant_PU!#REF!</definedName>
    <definedName name="matriz4">[3]Curvas_Carga_Regional_Ant_PU!#REF!</definedName>
    <definedName name="municipio">[1]consulta!#REF!</definedName>
    <definedName name="municipiogde">[2]hoja17!$A$27:$K$27</definedName>
    <definedName name="REPORTE_CONSUMO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  <c r="I38" i="1" s="1"/>
  <c r="H61" i="1" l="1"/>
  <c r="H62" i="1"/>
  <c r="I52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A98" i="1"/>
  <c r="I61" i="1" s="1"/>
  <c r="A94" i="1"/>
  <c r="I60" i="1" s="1"/>
  <c r="A90" i="1"/>
  <c r="I59" i="1" s="1"/>
  <c r="A86" i="1"/>
  <c r="I58" i="1" s="1"/>
  <c r="A82" i="1"/>
  <c r="I57" i="1" s="1"/>
  <c r="A78" i="1"/>
  <c r="I56" i="1" s="1"/>
  <c r="A74" i="1"/>
  <c r="I55" i="1" s="1"/>
  <c r="A70" i="1"/>
  <c r="I54" i="1" s="1"/>
  <c r="A66" i="1"/>
  <c r="I53" i="1" s="1"/>
  <c r="A62" i="1"/>
  <c r="A58" i="1"/>
  <c r="I51" i="1" s="1"/>
  <c r="A54" i="1"/>
  <c r="I50" i="1" s="1"/>
  <c r="A50" i="1"/>
  <c r="I49" i="1" s="1"/>
  <c r="A46" i="1"/>
  <c r="I48" i="1" s="1"/>
  <c r="A42" i="1"/>
  <c r="I47" i="1" s="1"/>
  <c r="A38" i="1"/>
  <c r="I46" i="1" s="1"/>
  <c r="A34" i="1"/>
  <c r="I45" i="1" s="1"/>
  <c r="A30" i="1"/>
  <c r="I44" i="1" s="1"/>
  <c r="A26" i="1"/>
  <c r="I43" i="1" s="1"/>
  <c r="A22" i="1"/>
  <c r="I42" i="1" s="1"/>
  <c r="A18" i="1"/>
  <c r="I41" i="1" s="1"/>
  <c r="A14" i="1"/>
  <c r="I40" i="1" s="1"/>
  <c r="A10" i="1"/>
  <c r="I39" i="1" s="1"/>
  <c r="H5" i="1"/>
  <c r="D99" i="1"/>
  <c r="C99" i="1"/>
</calcChain>
</file>

<file path=xl/sharedStrings.xml><?xml version="1.0" encoding="utf-8"?>
<sst xmlns="http://schemas.openxmlformats.org/spreadsheetml/2006/main" count="13" uniqueCount="13">
  <si>
    <t xml:space="preserve">No se tiene desagregada curva de día hábil y no hábil </t>
  </si>
  <si>
    <t>Curva en p.u. con períodos de 15 minutos</t>
  </si>
  <si>
    <t>Curva típica 2</t>
  </si>
  <si>
    <t>Curva típica 1</t>
  </si>
  <si>
    <t>Período</t>
  </si>
  <si>
    <t>El factor de potencia promedio típico para esta zona es 0,94</t>
  </si>
  <si>
    <t>Para la curva típica 1 la demanda diversificada es de 0,38 kW por usuario</t>
  </si>
  <si>
    <t>Para la curva típica 2 la demanda diversificada es de 0,42 kW Por usuario</t>
  </si>
  <si>
    <r>
      <rPr>
        <b/>
        <sz val="11"/>
        <color theme="1"/>
        <rFont val="Calibri"/>
        <family val="2"/>
        <scheme val="minor"/>
      </rPr>
      <t>Curva típica 1:</t>
    </r>
    <r>
      <rPr>
        <sz val="11"/>
        <color theme="1"/>
        <rFont val="Calibri"/>
        <family val="2"/>
        <scheme val="minor"/>
      </rPr>
      <t xml:space="preserve"> hace referencia a usuarios residenciales </t>
    </r>
  </si>
  <si>
    <r>
      <rPr>
        <b/>
        <sz val="11"/>
        <color theme="1"/>
        <rFont val="Calibri"/>
        <family val="2"/>
        <scheme val="minor"/>
      </rPr>
      <t>Curva típica 2:</t>
    </r>
    <r>
      <rPr>
        <sz val="11"/>
        <color theme="1"/>
        <rFont val="Calibri"/>
        <family val="2"/>
        <scheme val="minor"/>
      </rPr>
      <t xml:space="preserve"> hace referencia a una combinación de usuarios residenciales y usuarios comerciales. Residenciales 75% y comerciales 25%.</t>
    </r>
  </si>
  <si>
    <t>hours</t>
  </si>
  <si>
    <t>Demand</t>
  </si>
  <si>
    <t>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</si>
</sst>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 applyAlignment="1">
      <alignment horizontal="center"/>
    </xf>
    <xf numFmtId="20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Load curve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Hoja1!$B$3:$B$98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Hoja1!$C$3:$C$98</c:f>
              <c:numCache>
                <c:formatCode>0.0000</c:formatCode>
                <c:ptCount val="96"/>
                <c:pt idx="0">
                  <c:v>0.51120573549246351</c:v>
                </c:pt>
                <c:pt idx="1">
                  <c:v>0.49207293016888243</c:v>
                </c:pt>
                <c:pt idx="2">
                  <c:v>0.47493577452169178</c:v>
                </c:pt>
                <c:pt idx="3">
                  <c:v>0.46107413876051123</c:v>
                </c:pt>
                <c:pt idx="4">
                  <c:v>0.44960919814633499</c:v>
                </c:pt>
                <c:pt idx="5">
                  <c:v>0.44099351925499836</c:v>
                </c:pt>
                <c:pt idx="6">
                  <c:v>0.43490749331330159</c:v>
                </c:pt>
                <c:pt idx="7">
                  <c:v>0.43181535226530599</c:v>
                </c:pt>
                <c:pt idx="8">
                  <c:v>0.42915238627804242</c:v>
                </c:pt>
                <c:pt idx="9">
                  <c:v>0.42685460739679398</c:v>
                </c:pt>
                <c:pt idx="10">
                  <c:v>0.42563555979007817</c:v>
                </c:pt>
                <c:pt idx="11">
                  <c:v>0.42556458725333296</c:v>
                </c:pt>
                <c:pt idx="12">
                  <c:v>0.42863362193484073</c:v>
                </c:pt>
                <c:pt idx="13">
                  <c:v>0.43381550155801568</c:v>
                </c:pt>
                <c:pt idx="14">
                  <c:v>0.44177526404911616</c:v>
                </c:pt>
                <c:pt idx="15">
                  <c:v>0.45152886133105985</c:v>
                </c:pt>
                <c:pt idx="16">
                  <c:v>0.46778371769188426</c:v>
                </c:pt>
                <c:pt idx="17">
                  <c:v>0.48737744177993209</c:v>
                </c:pt>
                <c:pt idx="18">
                  <c:v>0.51173378304811157</c:v>
                </c:pt>
                <c:pt idx="19">
                  <c:v>0.53703123593840785</c:v>
                </c:pt>
                <c:pt idx="20">
                  <c:v>0.56501138988340904</c:v>
                </c:pt>
                <c:pt idx="21">
                  <c:v>0.59224311934415208</c:v>
                </c:pt>
                <c:pt idx="22">
                  <c:v>0.61150355399389356</c:v>
                </c:pt>
                <c:pt idx="23">
                  <c:v>0.62723263562692155</c:v>
                </c:pt>
                <c:pt idx="24">
                  <c:v>0.64292312264711837</c:v>
                </c:pt>
                <c:pt idx="25">
                  <c:v>0.64916534497478484</c:v>
                </c:pt>
                <c:pt idx="26">
                  <c:v>0.65059997642736211</c:v>
                </c:pt>
                <c:pt idx="27">
                  <c:v>0.64363598804502586</c:v>
                </c:pt>
                <c:pt idx="28">
                  <c:v>0.63552939938712416</c:v>
                </c:pt>
                <c:pt idx="29">
                  <c:v>0.62487681961528163</c:v>
                </c:pt>
                <c:pt idx="30">
                  <c:v>0.61211265877428822</c:v>
                </c:pt>
                <c:pt idx="31">
                  <c:v>0.60769734954213184</c:v>
                </c:pt>
                <c:pt idx="32">
                  <c:v>0.60411466421918547</c:v>
                </c:pt>
                <c:pt idx="33">
                  <c:v>0.59829403205490861</c:v>
                </c:pt>
                <c:pt idx="34">
                  <c:v>0.59601061283898127</c:v>
                </c:pt>
                <c:pt idx="35">
                  <c:v>0.5971346891701711</c:v>
                </c:pt>
                <c:pt idx="36">
                  <c:v>0.60336776110424373</c:v>
                </c:pt>
                <c:pt idx="37">
                  <c:v>0.60882259357660984</c:v>
                </c:pt>
                <c:pt idx="38">
                  <c:v>0.61549620147208173</c:v>
                </c:pt>
                <c:pt idx="39">
                  <c:v>0.62153202738703439</c:v>
                </c:pt>
                <c:pt idx="40">
                  <c:v>0.62939060570179017</c:v>
                </c:pt>
                <c:pt idx="41">
                  <c:v>0.6331482639552598</c:v>
                </c:pt>
                <c:pt idx="42">
                  <c:v>0.63874852428508622</c:v>
                </c:pt>
                <c:pt idx="43">
                  <c:v>0.64642925655663619</c:v>
                </c:pt>
                <c:pt idx="44">
                  <c:v>0.6528568346350303</c:v>
                </c:pt>
                <c:pt idx="45">
                  <c:v>0.65684296025719313</c:v>
                </c:pt>
                <c:pt idx="46">
                  <c:v>0.66099842506259654</c:v>
                </c:pt>
                <c:pt idx="47">
                  <c:v>0.66277738402964592</c:v>
                </c:pt>
                <c:pt idx="48">
                  <c:v>0.664192390471257</c:v>
                </c:pt>
                <c:pt idx="49">
                  <c:v>0.66064815239004271</c:v>
                </c:pt>
                <c:pt idx="50">
                  <c:v>0.6599489192852348</c:v>
                </c:pt>
                <c:pt idx="51">
                  <c:v>0.65581732321381625</c:v>
                </c:pt>
                <c:pt idx="52">
                  <c:v>0.64652347149898515</c:v>
                </c:pt>
                <c:pt idx="53">
                  <c:v>0.63668647125352662</c:v>
                </c:pt>
                <c:pt idx="54">
                  <c:v>0.62663613804235874</c:v>
                </c:pt>
                <c:pt idx="55">
                  <c:v>0.61829210558254366</c:v>
                </c:pt>
                <c:pt idx="56">
                  <c:v>0.61095582521264757</c:v>
                </c:pt>
                <c:pt idx="57">
                  <c:v>0.60470639317778652</c:v>
                </c:pt>
                <c:pt idx="58">
                  <c:v>0.6017897971844397</c:v>
                </c:pt>
                <c:pt idx="59">
                  <c:v>0.60058005719448393</c:v>
                </c:pt>
                <c:pt idx="60">
                  <c:v>0.60136058979155149</c:v>
                </c:pt>
                <c:pt idx="61">
                  <c:v>0.60493179437242883</c:v>
                </c:pt>
                <c:pt idx="62">
                  <c:v>0.61008960584923866</c:v>
                </c:pt>
                <c:pt idx="63">
                  <c:v>0.6176234193033675</c:v>
                </c:pt>
                <c:pt idx="64">
                  <c:v>0.62575020080706678</c:v>
                </c:pt>
                <c:pt idx="65">
                  <c:v>0.63544293859223233</c:v>
                </c:pt>
                <c:pt idx="66">
                  <c:v>0.64840913131711797</c:v>
                </c:pt>
                <c:pt idx="67">
                  <c:v>0.66662719506777079</c:v>
                </c:pt>
                <c:pt idx="68">
                  <c:v>0.6930459835685252</c:v>
                </c:pt>
                <c:pt idx="69">
                  <c:v>0.7274702196548094</c:v>
                </c:pt>
                <c:pt idx="70">
                  <c:v>0.7656154177216824</c:v>
                </c:pt>
                <c:pt idx="71">
                  <c:v>0.80602211938145651</c:v>
                </c:pt>
                <c:pt idx="72">
                  <c:v>0.84583120734615691</c:v>
                </c:pt>
                <c:pt idx="73">
                  <c:v>0.8847495922868176</c:v>
                </c:pt>
                <c:pt idx="74">
                  <c:v>0.92133072845079567</c:v>
                </c:pt>
                <c:pt idx="75">
                  <c:v>0.95449430683789394</c:v>
                </c:pt>
                <c:pt idx="76">
                  <c:v>0.97946836252673142</c:v>
                </c:pt>
                <c:pt idx="77">
                  <c:v>0.99407853308948368</c:v>
                </c:pt>
                <c:pt idx="78">
                  <c:v>1</c:v>
                </c:pt>
                <c:pt idx="79">
                  <c:v>0.99904685028825158</c:v>
                </c:pt>
                <c:pt idx="80">
                  <c:v>0.99162650550923281</c:v>
                </c:pt>
                <c:pt idx="81">
                  <c:v>0.98031060289829863</c:v>
                </c:pt>
                <c:pt idx="82">
                  <c:v>0.96505737302853112</c:v>
                </c:pt>
                <c:pt idx="83">
                  <c:v>0.94638426460638481</c:v>
                </c:pt>
                <c:pt idx="84">
                  <c:v>0.92388368537905119</c:v>
                </c:pt>
                <c:pt idx="85">
                  <c:v>0.89768112176474568</c:v>
                </c:pt>
                <c:pt idx="86">
                  <c:v>0.86825289532358019</c:v>
                </c:pt>
                <c:pt idx="87">
                  <c:v>0.83471341030101887</c:v>
                </c:pt>
                <c:pt idx="88">
                  <c:v>0.7987387660901113</c:v>
                </c:pt>
                <c:pt idx="89">
                  <c:v>0.76091682406440719</c:v>
                </c:pt>
                <c:pt idx="90">
                  <c:v>0.72296652913848303</c:v>
                </c:pt>
                <c:pt idx="91">
                  <c:v>0.683538569997023</c:v>
                </c:pt>
                <c:pt idx="92">
                  <c:v>0.64667977073595828</c:v>
                </c:pt>
                <c:pt idx="93">
                  <c:v>0.61223362750681443</c:v>
                </c:pt>
                <c:pt idx="94">
                  <c:v>0.58108659173016042</c:v>
                </c:pt>
                <c:pt idx="95">
                  <c:v>0.55345025113037716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BF-4B3D-9D43-1FFDEC102DD7}"/>
            </c:ext>
          </c:extLst>
        </c:ser>
        <c:ser>
          <c:idx val="1"/>
          <c:order val="1"/>
          <c:tx>
            <c:v>Load curve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Hoja1!$B$3:$B$98</c:f>
              <c:numCache>
                <c:formatCode>h:mm</c:formatCode>
                <c:ptCount val="96"/>
                <c:pt idx="0">
                  <c:v>0</c:v>
                </c:pt>
                <c:pt idx="1">
                  <c:v>1.0416666666666666E-2</c:v>
                </c:pt>
                <c:pt idx="2">
                  <c:v>2.0833333333333301E-2</c:v>
                </c:pt>
                <c:pt idx="3">
                  <c:v>3.125E-2</c:v>
                </c:pt>
                <c:pt idx="4">
                  <c:v>4.1666666666666699E-2</c:v>
                </c:pt>
                <c:pt idx="5">
                  <c:v>5.2083333333333301E-2</c:v>
                </c:pt>
                <c:pt idx="6">
                  <c:v>6.25E-2</c:v>
                </c:pt>
                <c:pt idx="7">
                  <c:v>7.2916666666666699E-2</c:v>
                </c:pt>
                <c:pt idx="8">
                  <c:v>8.3333333333333301E-2</c:v>
                </c:pt>
                <c:pt idx="9">
                  <c:v>9.375E-2</c:v>
                </c:pt>
                <c:pt idx="10">
                  <c:v>0.104166666666667</c:v>
                </c:pt>
                <c:pt idx="11">
                  <c:v>0.114583333333333</c:v>
                </c:pt>
                <c:pt idx="12">
                  <c:v>0.125</c:v>
                </c:pt>
                <c:pt idx="13">
                  <c:v>0.13541666666666699</c:v>
                </c:pt>
                <c:pt idx="14">
                  <c:v>0.14583333333333301</c:v>
                </c:pt>
                <c:pt idx="15">
                  <c:v>0.15625</c:v>
                </c:pt>
                <c:pt idx="16">
                  <c:v>0.16666666666666699</c:v>
                </c:pt>
                <c:pt idx="17">
                  <c:v>0.17708333333333301</c:v>
                </c:pt>
                <c:pt idx="18">
                  <c:v>0.1875</c:v>
                </c:pt>
                <c:pt idx="19">
                  <c:v>0.19791666666666699</c:v>
                </c:pt>
                <c:pt idx="20">
                  <c:v>0.20833333333333301</c:v>
                </c:pt>
                <c:pt idx="21">
                  <c:v>0.21875</c:v>
                </c:pt>
                <c:pt idx="22">
                  <c:v>0.22916666666666699</c:v>
                </c:pt>
                <c:pt idx="23">
                  <c:v>0.23958333333333301</c:v>
                </c:pt>
                <c:pt idx="24">
                  <c:v>0.25</c:v>
                </c:pt>
                <c:pt idx="25">
                  <c:v>0.26041666666666702</c:v>
                </c:pt>
                <c:pt idx="26">
                  <c:v>0.27083333333333298</c:v>
                </c:pt>
                <c:pt idx="27">
                  <c:v>0.28125</c:v>
                </c:pt>
                <c:pt idx="28">
                  <c:v>0.29166666666666702</c:v>
                </c:pt>
                <c:pt idx="29">
                  <c:v>0.30208333333333298</c:v>
                </c:pt>
                <c:pt idx="30">
                  <c:v>0.3125</c:v>
                </c:pt>
                <c:pt idx="31">
                  <c:v>0.32291666666666702</c:v>
                </c:pt>
                <c:pt idx="32">
                  <c:v>0.33333333333333298</c:v>
                </c:pt>
                <c:pt idx="33">
                  <c:v>0.34375</c:v>
                </c:pt>
                <c:pt idx="34">
                  <c:v>0.35416666666666702</c:v>
                </c:pt>
                <c:pt idx="35">
                  <c:v>0.36458333333333298</c:v>
                </c:pt>
                <c:pt idx="36">
                  <c:v>0.375</c:v>
                </c:pt>
                <c:pt idx="37">
                  <c:v>0.38541666666666702</c:v>
                </c:pt>
                <c:pt idx="38">
                  <c:v>0.39583333333333298</c:v>
                </c:pt>
                <c:pt idx="39">
                  <c:v>0.40625</c:v>
                </c:pt>
                <c:pt idx="40">
                  <c:v>0.41666666666666702</c:v>
                </c:pt>
                <c:pt idx="41">
                  <c:v>0.42708333333333298</c:v>
                </c:pt>
                <c:pt idx="42">
                  <c:v>0.4375</c:v>
                </c:pt>
                <c:pt idx="43">
                  <c:v>0.44791666666666702</c:v>
                </c:pt>
                <c:pt idx="44">
                  <c:v>0.45833333333333298</c:v>
                </c:pt>
                <c:pt idx="45">
                  <c:v>0.46875</c:v>
                </c:pt>
                <c:pt idx="46">
                  <c:v>0.47916666666666702</c:v>
                </c:pt>
                <c:pt idx="47">
                  <c:v>0.48958333333333298</c:v>
                </c:pt>
                <c:pt idx="48">
                  <c:v>0.5</c:v>
                </c:pt>
                <c:pt idx="49">
                  <c:v>0.51041666666666696</c:v>
                </c:pt>
                <c:pt idx="50">
                  <c:v>0.52083333333333304</c:v>
                </c:pt>
                <c:pt idx="51">
                  <c:v>0.53125</c:v>
                </c:pt>
                <c:pt idx="52">
                  <c:v>0.54166666666666696</c:v>
                </c:pt>
                <c:pt idx="53">
                  <c:v>0.55208333333333304</c:v>
                </c:pt>
                <c:pt idx="54">
                  <c:v>0.5625</c:v>
                </c:pt>
                <c:pt idx="55">
                  <c:v>0.57291666666666696</c:v>
                </c:pt>
                <c:pt idx="56">
                  <c:v>0.58333333333333304</c:v>
                </c:pt>
                <c:pt idx="57">
                  <c:v>0.59375</c:v>
                </c:pt>
                <c:pt idx="58">
                  <c:v>0.60416666666666696</c:v>
                </c:pt>
                <c:pt idx="59">
                  <c:v>0.61458333333333304</c:v>
                </c:pt>
                <c:pt idx="60">
                  <c:v>0.625</c:v>
                </c:pt>
                <c:pt idx="61">
                  <c:v>0.63541666666666696</c:v>
                </c:pt>
                <c:pt idx="62">
                  <c:v>0.64583333333333304</c:v>
                </c:pt>
                <c:pt idx="63">
                  <c:v>0.65625</c:v>
                </c:pt>
                <c:pt idx="64">
                  <c:v>0.66666666666666696</c:v>
                </c:pt>
                <c:pt idx="65">
                  <c:v>0.67708333333333304</c:v>
                </c:pt>
                <c:pt idx="66">
                  <c:v>0.6875</c:v>
                </c:pt>
                <c:pt idx="67">
                  <c:v>0.69791666666666696</c:v>
                </c:pt>
                <c:pt idx="68">
                  <c:v>0.70833333333333304</c:v>
                </c:pt>
                <c:pt idx="69">
                  <c:v>0.71875</c:v>
                </c:pt>
                <c:pt idx="70">
                  <c:v>0.72916666666666696</c:v>
                </c:pt>
                <c:pt idx="71">
                  <c:v>0.73958333333333304</c:v>
                </c:pt>
                <c:pt idx="72">
                  <c:v>0.75</c:v>
                </c:pt>
                <c:pt idx="73">
                  <c:v>0.76041666666666696</c:v>
                </c:pt>
                <c:pt idx="74">
                  <c:v>0.77083333333333304</c:v>
                </c:pt>
                <c:pt idx="75">
                  <c:v>0.78125</c:v>
                </c:pt>
                <c:pt idx="76">
                  <c:v>0.79166666666666696</c:v>
                </c:pt>
                <c:pt idx="77">
                  <c:v>0.80208333333333304</c:v>
                </c:pt>
                <c:pt idx="78">
                  <c:v>0.8125</c:v>
                </c:pt>
                <c:pt idx="79">
                  <c:v>0.82291666666666696</c:v>
                </c:pt>
                <c:pt idx="80">
                  <c:v>0.83333333333333304</c:v>
                </c:pt>
                <c:pt idx="81">
                  <c:v>0.84375</c:v>
                </c:pt>
                <c:pt idx="82">
                  <c:v>0.85416666666666696</c:v>
                </c:pt>
                <c:pt idx="83">
                  <c:v>0.86458333333333304</c:v>
                </c:pt>
                <c:pt idx="84">
                  <c:v>0.875</c:v>
                </c:pt>
                <c:pt idx="85">
                  <c:v>0.88541666666666696</c:v>
                </c:pt>
                <c:pt idx="86">
                  <c:v>0.89583333333333304</c:v>
                </c:pt>
                <c:pt idx="87">
                  <c:v>0.90625</c:v>
                </c:pt>
                <c:pt idx="88">
                  <c:v>0.91666666666666696</c:v>
                </c:pt>
                <c:pt idx="89">
                  <c:v>0.92708333333333304</c:v>
                </c:pt>
                <c:pt idx="90">
                  <c:v>0.9375</c:v>
                </c:pt>
                <c:pt idx="91">
                  <c:v>0.94791666666666696</c:v>
                </c:pt>
                <c:pt idx="92">
                  <c:v>0.95833333333333304</c:v>
                </c:pt>
                <c:pt idx="93">
                  <c:v>0.96875</c:v>
                </c:pt>
                <c:pt idx="94">
                  <c:v>0.97916666666666696</c:v>
                </c:pt>
                <c:pt idx="95">
                  <c:v>0.98958333333333304</c:v>
                </c:pt>
              </c:numCache>
            </c:numRef>
          </c:cat>
          <c:val>
            <c:numRef>
              <c:f>Hoja1!$D$3:$D$98</c:f>
              <c:numCache>
                <c:formatCode>0.0000</c:formatCode>
                <c:ptCount val="96"/>
                <c:pt idx="0">
                  <c:v>0.33321731755696349</c:v>
                </c:pt>
                <c:pt idx="1">
                  <c:v>0.32919161063689811</c:v>
                </c:pt>
                <c:pt idx="2">
                  <c:v>0.323740923195528</c:v>
                </c:pt>
                <c:pt idx="3">
                  <c:v>0.31762616513195113</c:v>
                </c:pt>
                <c:pt idx="4">
                  <c:v>0.31161289083145299</c:v>
                </c:pt>
                <c:pt idx="5">
                  <c:v>0.30692053196363472</c:v>
                </c:pt>
                <c:pt idx="6">
                  <c:v>0.30064956358658051</c:v>
                </c:pt>
                <c:pt idx="7">
                  <c:v>0.29642768117122897</c:v>
                </c:pt>
                <c:pt idx="8">
                  <c:v>0.29188655035052063</c:v>
                </c:pt>
                <c:pt idx="9">
                  <c:v>0.28824962858303405</c:v>
                </c:pt>
                <c:pt idx="10">
                  <c:v>0.28548247102251328</c:v>
                </c:pt>
                <c:pt idx="11">
                  <c:v>0.28847259762833527</c:v>
                </c:pt>
                <c:pt idx="12">
                  <c:v>0.29480970457594047</c:v>
                </c:pt>
                <c:pt idx="13">
                  <c:v>0.30209861111127778</c:v>
                </c:pt>
                <c:pt idx="14">
                  <c:v>0.30946772662659361</c:v>
                </c:pt>
                <c:pt idx="15">
                  <c:v>0.31731197840964859</c:v>
                </c:pt>
                <c:pt idx="16">
                  <c:v>0.32390217894793522</c:v>
                </c:pt>
                <c:pt idx="17">
                  <c:v>0.3329719241691888</c:v>
                </c:pt>
                <c:pt idx="18">
                  <c:v>0.34049196284055744</c:v>
                </c:pt>
                <c:pt idx="19">
                  <c:v>0.34870698392694166</c:v>
                </c:pt>
                <c:pt idx="20">
                  <c:v>0.35115245815411461</c:v>
                </c:pt>
                <c:pt idx="21">
                  <c:v>0.354092681076079</c:v>
                </c:pt>
                <c:pt idx="22">
                  <c:v>0.36008926338859387</c:v>
                </c:pt>
                <c:pt idx="23">
                  <c:v>0.36991850174941504</c:v>
                </c:pt>
                <c:pt idx="24">
                  <c:v>0.39806675094919769</c:v>
                </c:pt>
                <c:pt idx="25">
                  <c:v>0.43379833637723247</c:v>
                </c:pt>
                <c:pt idx="26">
                  <c:v>0.47284012162405442</c:v>
                </c:pt>
                <c:pt idx="27">
                  <c:v>0.51165949098855001</c:v>
                </c:pt>
                <c:pt idx="28">
                  <c:v>0.55456253188575233</c:v>
                </c:pt>
                <c:pt idx="29">
                  <c:v>0.60635813638691272</c:v>
                </c:pt>
                <c:pt idx="30">
                  <c:v>0.65731771156153007</c:v>
                </c:pt>
                <c:pt idx="31">
                  <c:v>0.71701994907367261</c:v>
                </c:pt>
                <c:pt idx="32">
                  <c:v>0.76848843585861304</c:v>
                </c:pt>
                <c:pt idx="33">
                  <c:v>0.80366715827880464</c:v>
                </c:pt>
                <c:pt idx="34">
                  <c:v>0.8357980319659174</c:v>
                </c:pt>
                <c:pt idx="35">
                  <c:v>0.85820388399847003</c:v>
                </c:pt>
                <c:pt idx="36">
                  <c:v>0.88489654178388233</c:v>
                </c:pt>
                <c:pt idx="37">
                  <c:v>0.90676807093172174</c:v>
                </c:pt>
                <c:pt idx="38">
                  <c:v>0.92779007239123124</c:v>
                </c:pt>
                <c:pt idx="39">
                  <c:v>0.94663185566239649</c:v>
                </c:pt>
                <c:pt idx="40">
                  <c:v>0.95089508129114331</c:v>
                </c:pt>
                <c:pt idx="41">
                  <c:v>0.96135985072481178</c:v>
                </c:pt>
                <c:pt idx="42">
                  <c:v>0.96438949593846102</c:v>
                </c:pt>
                <c:pt idx="43">
                  <c:v>0.96102397753020696</c:v>
                </c:pt>
                <c:pt idx="44">
                  <c:v>0.94854752037028567</c:v>
                </c:pt>
                <c:pt idx="45">
                  <c:v>0.92965493793177079</c:v>
                </c:pt>
                <c:pt idx="46">
                  <c:v>0.91216116036872219</c:v>
                </c:pt>
                <c:pt idx="47">
                  <c:v>0.89093282068370361</c:v>
                </c:pt>
                <c:pt idx="48">
                  <c:v>0.87045762083817013</c:v>
                </c:pt>
                <c:pt idx="49">
                  <c:v>0.84353822633796194</c:v>
                </c:pt>
                <c:pt idx="50">
                  <c:v>0.81943708522132863</c:v>
                </c:pt>
                <c:pt idx="51">
                  <c:v>0.8066924672611816</c:v>
                </c:pt>
                <c:pt idx="52">
                  <c:v>0.80897585174308839</c:v>
                </c:pt>
                <c:pt idx="53">
                  <c:v>0.8308526167451552</c:v>
                </c:pt>
                <c:pt idx="54">
                  <c:v>0.85238881758243878</c:v>
                </c:pt>
                <c:pt idx="55">
                  <c:v>0.87389522651287321</c:v>
                </c:pt>
                <c:pt idx="56">
                  <c:v>0.89443846159604024</c:v>
                </c:pt>
                <c:pt idx="57">
                  <c:v>0.91156675057305114</c:v>
                </c:pt>
                <c:pt idx="58">
                  <c:v>0.94020913682057372</c:v>
                </c:pt>
                <c:pt idx="59">
                  <c:v>0.9616151649674507</c:v>
                </c:pt>
                <c:pt idx="60">
                  <c:v>0.97945621130941019</c:v>
                </c:pt>
                <c:pt idx="61">
                  <c:v>0.9829831336541317</c:v>
                </c:pt>
                <c:pt idx="62">
                  <c:v>0.9765282364745459</c:v>
                </c:pt>
                <c:pt idx="63">
                  <c:v>0.97796463148225177</c:v>
                </c:pt>
                <c:pt idx="64">
                  <c:v>0.98631020384997026</c:v>
                </c:pt>
                <c:pt idx="65">
                  <c:v>0.99014230934098446</c:v>
                </c:pt>
                <c:pt idx="66">
                  <c:v>0.99645372658956188</c:v>
                </c:pt>
                <c:pt idx="67">
                  <c:v>1</c:v>
                </c:pt>
                <c:pt idx="68">
                  <c:v>0.99158892219913053</c:v>
                </c:pt>
                <c:pt idx="69">
                  <c:v>0.98368711586299518</c:v>
                </c:pt>
                <c:pt idx="70">
                  <c:v>0.97008359234390773</c:v>
                </c:pt>
                <c:pt idx="71">
                  <c:v>0.9565069578613532</c:v>
                </c:pt>
                <c:pt idx="72">
                  <c:v>0.93229245820438522</c:v>
                </c:pt>
                <c:pt idx="73">
                  <c:v>0.90475655195612459</c:v>
                </c:pt>
                <c:pt idx="74">
                  <c:v>0.88068531252489868</c:v>
                </c:pt>
                <c:pt idx="75">
                  <c:v>0.84819429604139795</c:v>
                </c:pt>
                <c:pt idx="76">
                  <c:v>0.81503771098168287</c:v>
                </c:pt>
                <c:pt idx="77">
                  <c:v>0.79471649986520077</c:v>
                </c:pt>
                <c:pt idx="78">
                  <c:v>0.77066717638067606</c:v>
                </c:pt>
                <c:pt idx="79">
                  <c:v>0.7453222951427092</c:v>
                </c:pt>
                <c:pt idx="80">
                  <c:v>0.71841748361330759</c:v>
                </c:pt>
                <c:pt idx="81">
                  <c:v>0.69870713840080689</c:v>
                </c:pt>
                <c:pt idx="82">
                  <c:v>0.67493266101023686</c:v>
                </c:pt>
                <c:pt idx="83">
                  <c:v>0.64473200090135963</c:v>
                </c:pt>
                <c:pt idx="84">
                  <c:v>0.61816624339964055</c:v>
                </c:pt>
                <c:pt idx="85">
                  <c:v>0.58965716520251188</c:v>
                </c:pt>
                <c:pt idx="86">
                  <c:v>0.55968083865408591</c:v>
                </c:pt>
                <c:pt idx="87">
                  <c:v>0.53116696549475384</c:v>
                </c:pt>
                <c:pt idx="88">
                  <c:v>0.50699862074552926</c:v>
                </c:pt>
                <c:pt idx="89">
                  <c:v>0.48538288405723701</c:v>
                </c:pt>
                <c:pt idx="90">
                  <c:v>0.46271048943204474</c:v>
                </c:pt>
                <c:pt idx="91">
                  <c:v>0.43474942786406851</c:v>
                </c:pt>
                <c:pt idx="92">
                  <c:v>0.41534887747335719</c:v>
                </c:pt>
                <c:pt idx="93">
                  <c:v>0.39134202397276779</c:v>
                </c:pt>
                <c:pt idx="94">
                  <c:v>0.37091459601379695</c:v>
                </c:pt>
                <c:pt idx="95">
                  <c:v>0.35371920913915139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BF-4B3D-9D43-1FFDEC102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398657759"/>
        <c:axId val="398668991"/>
      </c:lineChart>
      <c:catAx>
        <c:axId val="398657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Hour</a:t>
                </a:r>
                <a:r>
                  <a:rPr lang="de-DE" baseline="0"/>
                  <a:t> of the day 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0.36232340522652062"/>
              <c:y val="0.928535638640939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8668991"/>
        <c:crosses val="autoZero"/>
        <c:auto val="1"/>
        <c:lblAlgn val="ctr"/>
        <c:lblOffset val="100"/>
        <c:noMultiLvlLbl val="0"/>
      </c:catAx>
      <c:valAx>
        <c:axId val="39866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Load factor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  <a:alpha val="9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398657759"/>
        <c:crosses val="autoZero"/>
        <c:crossBetween val="between"/>
      </c:valAx>
      <c:spPr>
        <a:noFill/>
        <a:ln w="15875">
          <a:solidFill>
            <a:schemeClr val="tx1">
              <a:lumMod val="50000"/>
              <a:lumOff val="50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12425443341321467"/>
          <c:y val="6.8535193836581521E-2"/>
          <c:w val="0.1772063448590665"/>
          <c:h val="0.14018794292375139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642938</xdr:colOff>
      <xdr:row>13</xdr:row>
      <xdr:rowOff>104776</xdr:rowOff>
    </xdr:from>
    <xdr:to>
      <xdr:col>7</xdr:col>
      <xdr:colOff>604838</xdr:colOff>
      <xdr:row>30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BF0B165-572C-4ABF-958D-6B21EB542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mco-my.sharepoint.com/TRANSFORMADOR_&#211;ptimo-Econ&#243;mico/Infome%20y%20Aplicativo%20Final/Iteraci&#243;n%20Masiva/iteraci&#243;n_masiva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ja17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mco-my.sharepoint.com/personal/gabriel_suarez_epm_com_co/Documents/Documentos/Mis%20archivos%20recibidos/Transformadores%20N1%20Reportados%20CREG%20a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FAZ"/>
      <sheetName val="TrafoOpt"/>
      <sheetName val="DatosIniciales"/>
      <sheetName val="Hoja1"/>
      <sheetName val="Trafo_Ref"/>
      <sheetName val="Vida_TrafoRef"/>
      <sheetName val="Trafo_Optm1"/>
      <sheetName val="Vida_TrafoOptm1"/>
      <sheetName val="Trafo_Optm2"/>
      <sheetName val="Vida_TrafoOptm2"/>
      <sheetName val="EvalEcon"/>
      <sheetName val="BD Trafos"/>
      <sheetName val="Curvas_Carga_Regional_Ant_PU"/>
      <sheetName val="Diversificada_RegionalAnt"/>
      <sheetName val="Curva_carga_ValleAburr_PU"/>
      <sheetName val="Diversificada_ValleAburr"/>
      <sheetName val="consulta"/>
      <sheetName val="Combinación_estrato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7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afos Reportados CREG"/>
      <sheetName val="Consumos"/>
      <sheetName val="Clientes"/>
      <sheetName val="Clientes 2"/>
      <sheetName val="Transformadores_Maximo"/>
      <sheetName val="Factores FI"/>
      <sheetName val="Curva_carga_ValleAburr_PU"/>
      <sheetName val="Curvas_Carga_Regional_Ant_P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98061-EBCD-4D68-8B9F-A76939696BD4}">
  <dimension ref="A2:I99"/>
  <sheetViews>
    <sheetView showGridLines="0" tabSelected="1" topLeftCell="A14" zoomScaleNormal="100" workbookViewId="0">
      <selection activeCell="F32" sqref="F32"/>
    </sheetView>
  </sheetViews>
  <sheetFormatPr baseColWidth="10" defaultRowHeight="14.25" x14ac:dyDescent="0.45"/>
  <cols>
    <col min="3" max="3" width="13" customWidth="1"/>
    <col min="4" max="4" width="12.6640625" bestFit="1" customWidth="1"/>
    <col min="6" max="6" width="55.86328125" customWidth="1"/>
  </cols>
  <sheetData>
    <row r="2" spans="1:8" x14ac:dyDescent="0.45">
      <c r="B2" s="4" t="s">
        <v>4</v>
      </c>
      <c r="C2" s="3" t="s">
        <v>3</v>
      </c>
      <c r="D2" s="3" t="s">
        <v>2</v>
      </c>
      <c r="F2" t="s">
        <v>1</v>
      </c>
    </row>
    <row r="3" spans="1:8" x14ac:dyDescent="0.45">
      <c r="B3" s="2">
        <v>0</v>
      </c>
      <c r="C3" s="1">
        <v>0.51120573549246351</v>
      </c>
      <c r="D3" s="1">
        <v>0.33321731755696349</v>
      </c>
      <c r="F3" t="s">
        <v>0</v>
      </c>
    </row>
    <row r="4" spans="1:8" x14ac:dyDescent="0.45">
      <c r="B4" s="2">
        <v>1.0416666666666666E-2</v>
      </c>
      <c r="C4" s="1">
        <v>0.49207293016888243</v>
      </c>
      <c r="D4" s="1">
        <v>0.32919161063689811</v>
      </c>
    </row>
    <row r="5" spans="1:8" x14ac:dyDescent="0.45">
      <c r="B5" s="2">
        <v>2.0833333333333301E-2</v>
      </c>
      <c r="C5" s="1">
        <v>0.47493577452169178</v>
      </c>
      <c r="D5" s="1">
        <v>0.323740923195528</v>
      </c>
      <c r="F5" t="s">
        <v>6</v>
      </c>
      <c r="H5">
        <f>0.38*24</f>
        <v>9.120000000000001</v>
      </c>
    </row>
    <row r="6" spans="1:8" x14ac:dyDescent="0.45">
      <c r="A6" s="5">
        <f>AVERAGE(C3:C6)</f>
        <v>0.48482214473588725</v>
      </c>
      <c r="B6" s="2">
        <v>3.125E-2</v>
      </c>
      <c r="C6" s="1">
        <v>0.46107413876051123</v>
      </c>
      <c r="D6" s="1">
        <v>0.31762616513195113</v>
      </c>
      <c r="F6" t="s">
        <v>7</v>
      </c>
    </row>
    <row r="7" spans="1:8" x14ac:dyDescent="0.45">
      <c r="B7" s="2">
        <v>4.1666666666666699E-2</v>
      </c>
      <c r="C7" s="1">
        <v>0.44960919814633499</v>
      </c>
      <c r="D7" s="1">
        <v>0.31161289083145299</v>
      </c>
    </row>
    <row r="8" spans="1:8" x14ac:dyDescent="0.45">
      <c r="B8" s="2">
        <v>5.2083333333333301E-2</v>
      </c>
      <c r="C8" s="1">
        <v>0.44099351925499836</v>
      </c>
      <c r="D8" s="1">
        <v>0.30692053196363472</v>
      </c>
      <c r="F8" t="s">
        <v>5</v>
      </c>
    </row>
    <row r="9" spans="1:8" x14ac:dyDescent="0.45">
      <c r="B9" s="2">
        <v>6.25E-2</v>
      </c>
      <c r="C9" s="1">
        <v>0.43490749331330159</v>
      </c>
      <c r="D9" s="1">
        <v>0.30064956358658051</v>
      </c>
    </row>
    <row r="10" spans="1:8" x14ac:dyDescent="0.45">
      <c r="A10" s="5">
        <f>AVERAGE(C7:C10)</f>
        <v>0.43933139074498528</v>
      </c>
      <c r="B10" s="2">
        <v>7.2916666666666699E-2</v>
      </c>
      <c r="C10" s="1">
        <v>0.43181535226530599</v>
      </c>
      <c r="D10" s="1">
        <v>0.29642768117122897</v>
      </c>
    </row>
    <row r="11" spans="1:8" x14ac:dyDescent="0.45">
      <c r="B11" s="2">
        <v>8.3333333333333301E-2</v>
      </c>
      <c r="C11" s="1">
        <v>0.42915238627804242</v>
      </c>
      <c r="D11" s="1">
        <v>0.29188655035052063</v>
      </c>
      <c r="F11" t="s">
        <v>8</v>
      </c>
    </row>
    <row r="12" spans="1:8" x14ac:dyDescent="0.45">
      <c r="B12" s="2">
        <v>9.375E-2</v>
      </c>
      <c r="C12" s="1">
        <v>0.42685460739679398</v>
      </c>
      <c r="D12" s="1">
        <v>0.28824962858303405</v>
      </c>
      <c r="F12" t="s">
        <v>9</v>
      </c>
    </row>
    <row r="13" spans="1:8" x14ac:dyDescent="0.45">
      <c r="B13" s="2">
        <v>0.104166666666667</v>
      </c>
      <c r="C13" s="1">
        <v>0.42563555979007817</v>
      </c>
      <c r="D13" s="1">
        <v>0.28548247102251328</v>
      </c>
    </row>
    <row r="14" spans="1:8" x14ac:dyDescent="0.45">
      <c r="A14" s="5">
        <f>AVERAGE(C11:C14)</f>
        <v>0.42680178517956185</v>
      </c>
      <c r="B14" s="2">
        <v>0.114583333333333</v>
      </c>
      <c r="C14" s="1">
        <v>0.42556458725333296</v>
      </c>
      <c r="D14" s="1">
        <v>0.28847259762833527</v>
      </c>
    </row>
    <row r="15" spans="1:8" x14ac:dyDescent="0.45">
      <c r="B15" s="2">
        <v>0.125</v>
      </c>
      <c r="C15" s="1">
        <v>0.42863362193484073</v>
      </c>
      <c r="D15" s="1">
        <v>0.29480970457594047</v>
      </c>
    </row>
    <row r="16" spans="1:8" x14ac:dyDescent="0.45">
      <c r="B16" s="2">
        <v>0.13541666666666699</v>
      </c>
      <c r="C16" s="1">
        <v>0.43381550155801568</v>
      </c>
      <c r="D16" s="1">
        <v>0.30209861111127778</v>
      </c>
    </row>
    <row r="17" spans="1:4" x14ac:dyDescent="0.45">
      <c r="B17" s="2">
        <v>0.14583333333333301</v>
      </c>
      <c r="C17" s="1">
        <v>0.44177526404911616</v>
      </c>
      <c r="D17" s="1">
        <v>0.30946772662659361</v>
      </c>
    </row>
    <row r="18" spans="1:4" x14ac:dyDescent="0.45">
      <c r="A18" s="5">
        <f>AVERAGE(C15:C18)</f>
        <v>0.43893831221825808</v>
      </c>
      <c r="B18" s="2">
        <v>0.15625</v>
      </c>
      <c r="C18" s="1">
        <v>0.45152886133105985</v>
      </c>
      <c r="D18" s="1">
        <v>0.31731197840964859</v>
      </c>
    </row>
    <row r="19" spans="1:4" x14ac:dyDescent="0.45">
      <c r="B19" s="2">
        <v>0.16666666666666699</v>
      </c>
      <c r="C19" s="1">
        <v>0.46778371769188426</v>
      </c>
      <c r="D19" s="1">
        <v>0.32390217894793522</v>
      </c>
    </row>
    <row r="20" spans="1:4" x14ac:dyDescent="0.45">
      <c r="B20" s="2">
        <v>0.17708333333333301</v>
      </c>
      <c r="C20" s="1">
        <v>0.48737744177993209</v>
      </c>
      <c r="D20" s="1">
        <v>0.3329719241691888</v>
      </c>
    </row>
    <row r="21" spans="1:4" x14ac:dyDescent="0.45">
      <c r="B21" s="2">
        <v>0.1875</v>
      </c>
      <c r="C21" s="1">
        <v>0.51173378304811157</v>
      </c>
      <c r="D21" s="1">
        <v>0.34049196284055744</v>
      </c>
    </row>
    <row r="22" spans="1:4" x14ac:dyDescent="0.45">
      <c r="A22" s="5">
        <f>AVERAGE(C19:C22)</f>
        <v>0.50098154461458388</v>
      </c>
      <c r="B22" s="2">
        <v>0.19791666666666699</v>
      </c>
      <c r="C22" s="1">
        <v>0.53703123593840785</v>
      </c>
      <c r="D22" s="1">
        <v>0.34870698392694166</v>
      </c>
    </row>
    <row r="23" spans="1:4" x14ac:dyDescent="0.45">
      <c r="B23" s="2">
        <v>0.20833333333333301</v>
      </c>
      <c r="C23" s="1">
        <v>0.56501138988340904</v>
      </c>
      <c r="D23" s="1">
        <v>0.35115245815411461</v>
      </c>
    </row>
    <row r="24" spans="1:4" x14ac:dyDescent="0.45">
      <c r="B24" s="2">
        <v>0.21875</v>
      </c>
      <c r="C24" s="1">
        <v>0.59224311934415208</v>
      </c>
      <c r="D24" s="1">
        <v>0.354092681076079</v>
      </c>
    </row>
    <row r="25" spans="1:4" x14ac:dyDescent="0.45">
      <c r="B25" s="2">
        <v>0.22916666666666699</v>
      </c>
      <c r="C25" s="1">
        <v>0.61150355399389356</v>
      </c>
      <c r="D25" s="1">
        <v>0.36008926338859387</v>
      </c>
    </row>
    <row r="26" spans="1:4" x14ac:dyDescent="0.45">
      <c r="A26" s="5">
        <f>AVERAGE(C23:C26)</f>
        <v>0.59899767471209397</v>
      </c>
      <c r="B26" s="2">
        <v>0.23958333333333301</v>
      </c>
      <c r="C26" s="1">
        <v>0.62723263562692155</v>
      </c>
      <c r="D26" s="1">
        <v>0.36991850174941504</v>
      </c>
    </row>
    <row r="27" spans="1:4" x14ac:dyDescent="0.45">
      <c r="B27" s="2">
        <v>0.25</v>
      </c>
      <c r="C27" s="1">
        <v>0.64292312264711837</v>
      </c>
      <c r="D27" s="1">
        <v>0.39806675094919769</v>
      </c>
    </row>
    <row r="28" spans="1:4" x14ac:dyDescent="0.45">
      <c r="B28" s="2">
        <v>0.26041666666666702</v>
      </c>
      <c r="C28" s="1">
        <v>0.64916534497478484</v>
      </c>
      <c r="D28" s="1">
        <v>0.43379833637723247</v>
      </c>
    </row>
    <row r="29" spans="1:4" x14ac:dyDescent="0.45">
      <c r="B29" s="2">
        <v>0.27083333333333298</v>
      </c>
      <c r="C29" s="1">
        <v>0.65059997642736211</v>
      </c>
      <c r="D29" s="1">
        <v>0.47284012162405442</v>
      </c>
    </row>
    <row r="30" spans="1:4" x14ac:dyDescent="0.45">
      <c r="A30" s="5">
        <f>AVERAGE(C27:C30)</f>
        <v>0.64658110802357283</v>
      </c>
      <c r="B30" s="2">
        <v>0.28125</v>
      </c>
      <c r="C30" s="1">
        <v>0.64363598804502586</v>
      </c>
      <c r="D30" s="1">
        <v>0.51165949098855001</v>
      </c>
    </row>
    <row r="31" spans="1:4" x14ac:dyDescent="0.45">
      <c r="B31" s="2">
        <v>0.29166666666666702</v>
      </c>
      <c r="C31" s="1">
        <v>0.63552939938712416</v>
      </c>
      <c r="D31" s="1">
        <v>0.55456253188575233</v>
      </c>
    </row>
    <row r="32" spans="1:4" x14ac:dyDescent="0.45">
      <c r="B32" s="2">
        <v>0.30208333333333298</v>
      </c>
      <c r="C32" s="1">
        <v>0.62487681961528163</v>
      </c>
      <c r="D32" s="1">
        <v>0.60635813638691272</v>
      </c>
    </row>
    <row r="33" spans="1:9" x14ac:dyDescent="0.45">
      <c r="B33" s="2">
        <v>0.3125</v>
      </c>
      <c r="C33" s="1">
        <v>0.61211265877428822</v>
      </c>
      <c r="D33" s="1">
        <v>0.65731771156153007</v>
      </c>
    </row>
    <row r="34" spans="1:9" x14ac:dyDescent="0.45">
      <c r="A34" s="5">
        <f>AVERAGE(C31:C34)</f>
        <v>0.62005405682970638</v>
      </c>
      <c r="B34" s="2">
        <v>0.32291666666666702</v>
      </c>
      <c r="C34" s="1">
        <v>0.60769734954213184</v>
      </c>
      <c r="D34" s="1">
        <v>0.71701994907367261</v>
      </c>
    </row>
    <row r="35" spans="1:9" x14ac:dyDescent="0.45">
      <c r="B35" s="2">
        <v>0.33333333333333298</v>
      </c>
      <c r="C35" s="1">
        <v>0.60411466421918547</v>
      </c>
      <c r="D35" s="1">
        <v>0.76848843585861304</v>
      </c>
    </row>
    <row r="36" spans="1:9" x14ac:dyDescent="0.45">
      <c r="B36" s="2">
        <v>0.34375</v>
      </c>
      <c r="C36" s="1">
        <v>0.59829403205490861</v>
      </c>
      <c r="D36" s="1">
        <v>0.80366715827880464</v>
      </c>
    </row>
    <row r="37" spans="1:9" x14ac:dyDescent="0.45">
      <c r="B37" s="2">
        <v>0.35416666666666702</v>
      </c>
      <c r="C37" s="1">
        <v>0.59601061283898127</v>
      </c>
      <c r="D37" s="1">
        <v>0.8357980319659174</v>
      </c>
      <c r="G37" t="s">
        <v>10</v>
      </c>
      <c r="H37" t="s">
        <v>11</v>
      </c>
      <c r="I37" t="s">
        <v>12</v>
      </c>
    </row>
    <row r="38" spans="1:9" x14ac:dyDescent="0.45">
      <c r="A38" s="5">
        <f>AVERAGE(C35:C38)</f>
        <v>0.59888849957081158</v>
      </c>
      <c r="B38" s="2">
        <v>0.36458333333333298</v>
      </c>
      <c r="C38" s="1">
        <v>0.5971346891701711</v>
      </c>
      <c r="D38" s="1">
        <v>0.85820388399847003</v>
      </c>
      <c r="G38">
        <v>1</v>
      </c>
      <c r="H38">
        <f>0.38*I38</f>
        <v>0.18423241499963716</v>
      </c>
      <c r="I38" s="5">
        <f>A6</f>
        <v>0.48482214473588725</v>
      </c>
    </row>
    <row r="39" spans="1:9" x14ac:dyDescent="0.45">
      <c r="B39" s="2">
        <v>0.375</v>
      </c>
      <c r="C39" s="1">
        <v>0.60336776110424373</v>
      </c>
      <c r="D39" s="1">
        <v>0.88489654178388233</v>
      </c>
      <c r="G39">
        <v>2</v>
      </c>
      <c r="H39">
        <f t="shared" ref="H39:H51" si="0">0.38*I39</f>
        <v>0.16694592848309442</v>
      </c>
      <c r="I39" s="5">
        <f>A10</f>
        <v>0.43933139074498528</v>
      </c>
    </row>
    <row r="40" spans="1:9" x14ac:dyDescent="0.45">
      <c r="B40" s="2">
        <v>0.38541666666666702</v>
      </c>
      <c r="C40" s="1">
        <v>0.60882259357660984</v>
      </c>
      <c r="D40" s="1">
        <v>0.90676807093172174</v>
      </c>
      <c r="G40">
        <v>3</v>
      </c>
      <c r="H40">
        <f t="shared" si="0"/>
        <v>0.1621846783682335</v>
      </c>
      <c r="I40" s="5">
        <f>A14</f>
        <v>0.42680178517956185</v>
      </c>
    </row>
    <row r="41" spans="1:9" x14ac:dyDescent="0.45">
      <c r="B41" s="2">
        <v>0.39583333333333298</v>
      </c>
      <c r="C41" s="1">
        <v>0.61549620147208173</v>
      </c>
      <c r="D41" s="1">
        <v>0.92779007239123124</v>
      </c>
      <c r="G41">
        <v>4</v>
      </c>
      <c r="H41">
        <f t="shared" si="0"/>
        <v>0.16679655864293808</v>
      </c>
      <c r="I41" s="5">
        <f>A18</f>
        <v>0.43893831221825808</v>
      </c>
    </row>
    <row r="42" spans="1:9" x14ac:dyDescent="0.45">
      <c r="A42" s="5">
        <f>AVERAGE(C39:C42)</f>
        <v>0.61230464588499245</v>
      </c>
      <c r="B42" s="2">
        <v>0.40625</v>
      </c>
      <c r="C42" s="1">
        <v>0.62153202738703439</v>
      </c>
      <c r="D42" s="1">
        <v>0.94663185566239649</v>
      </c>
      <c r="G42">
        <v>5</v>
      </c>
      <c r="H42">
        <f t="shared" si="0"/>
        <v>0.19037298695354188</v>
      </c>
      <c r="I42" s="5">
        <f>A22</f>
        <v>0.50098154461458388</v>
      </c>
    </row>
    <row r="43" spans="1:9" x14ac:dyDescent="0.45">
      <c r="B43" s="2">
        <v>0.41666666666666702</v>
      </c>
      <c r="C43" s="1">
        <v>0.62939060570179017</v>
      </c>
      <c r="D43" s="1">
        <v>0.95089508129114331</v>
      </c>
      <c r="G43">
        <v>6</v>
      </c>
      <c r="H43">
        <f t="shared" si="0"/>
        <v>0.2276191163905957</v>
      </c>
      <c r="I43" s="5">
        <f>A26</f>
        <v>0.59899767471209397</v>
      </c>
    </row>
    <row r="44" spans="1:9" x14ac:dyDescent="0.45">
      <c r="B44" s="2">
        <v>0.42708333333333298</v>
      </c>
      <c r="C44" s="1">
        <v>0.6331482639552598</v>
      </c>
      <c r="D44" s="1">
        <v>0.96135985072481178</v>
      </c>
      <c r="G44">
        <v>7</v>
      </c>
      <c r="H44">
        <f t="shared" si="0"/>
        <v>0.24570082104895768</v>
      </c>
      <c r="I44" s="5">
        <f>A30</f>
        <v>0.64658110802357283</v>
      </c>
    </row>
    <row r="45" spans="1:9" x14ac:dyDescent="0.45">
      <c r="B45" s="2">
        <v>0.4375</v>
      </c>
      <c r="C45" s="1">
        <v>0.63874852428508622</v>
      </c>
      <c r="D45" s="1">
        <v>0.96438949593846102</v>
      </c>
      <c r="G45">
        <v>8</v>
      </c>
      <c r="H45">
        <f t="shared" si="0"/>
        <v>0.23562054159528842</v>
      </c>
      <c r="I45" s="5">
        <f>A34</f>
        <v>0.62005405682970638</v>
      </c>
    </row>
    <row r="46" spans="1:9" x14ac:dyDescent="0.45">
      <c r="A46" s="5">
        <f>AVERAGE(C43:C46)</f>
        <v>0.63692916262469312</v>
      </c>
      <c r="B46" s="2">
        <v>0.44791666666666702</v>
      </c>
      <c r="C46" s="1">
        <v>0.64642925655663619</v>
      </c>
      <c r="D46" s="1">
        <v>0.96102397753020696</v>
      </c>
      <c r="G46">
        <v>9</v>
      </c>
      <c r="H46">
        <f t="shared" si="0"/>
        <v>0.22757762983690841</v>
      </c>
      <c r="I46" s="5">
        <f>A38</f>
        <v>0.59888849957081158</v>
      </c>
    </row>
    <row r="47" spans="1:9" x14ac:dyDescent="0.45">
      <c r="B47" s="2">
        <v>0.45833333333333298</v>
      </c>
      <c r="C47" s="1">
        <v>0.6528568346350303</v>
      </c>
      <c r="D47" s="1">
        <v>0.94854752037028567</v>
      </c>
      <c r="G47">
        <v>10</v>
      </c>
      <c r="H47">
        <f t="shared" si="0"/>
        <v>0.23267576543629714</v>
      </c>
      <c r="I47" s="5">
        <f>A42</f>
        <v>0.61230464588499245</v>
      </c>
    </row>
    <row r="48" spans="1:9" x14ac:dyDescent="0.45">
      <c r="B48" s="2">
        <v>0.46875</v>
      </c>
      <c r="C48" s="1">
        <v>0.65684296025719313</v>
      </c>
      <c r="D48" s="1">
        <v>0.92965493793177079</v>
      </c>
      <c r="G48">
        <v>11</v>
      </c>
      <c r="H48">
        <f t="shared" si="0"/>
        <v>0.24203308179738339</v>
      </c>
      <c r="I48" s="5">
        <f>A46</f>
        <v>0.63692916262469312</v>
      </c>
    </row>
    <row r="49" spans="1:9" x14ac:dyDescent="0.45">
      <c r="B49" s="2">
        <v>0.47916666666666702</v>
      </c>
      <c r="C49" s="1">
        <v>0.66099842506259654</v>
      </c>
      <c r="D49" s="1">
        <v>0.91216116036872219</v>
      </c>
      <c r="G49">
        <v>12</v>
      </c>
      <c r="H49">
        <f t="shared" si="0"/>
        <v>0.25018018237852424</v>
      </c>
      <c r="I49" s="5">
        <f>A50</f>
        <v>0.65836890099611645</v>
      </c>
    </row>
    <row r="50" spans="1:9" x14ac:dyDescent="0.45">
      <c r="A50" s="5">
        <f>AVERAGE(C47:C50)</f>
        <v>0.65836890099611645</v>
      </c>
      <c r="B50" s="2">
        <v>0.48958333333333298</v>
      </c>
      <c r="C50" s="1">
        <v>0.66277738402964592</v>
      </c>
      <c r="D50" s="1">
        <v>0.89093282068370361</v>
      </c>
      <c r="G50">
        <v>13</v>
      </c>
      <c r="H50">
        <f t="shared" si="0"/>
        <v>0.25085764460923332</v>
      </c>
      <c r="I50" s="5">
        <f>A54</f>
        <v>0.66015169634008775</v>
      </c>
    </row>
    <row r="51" spans="1:9" x14ac:dyDescent="0.45">
      <c r="B51" s="2">
        <v>0.5</v>
      </c>
      <c r="C51" s="1">
        <v>0.664192390471257</v>
      </c>
      <c r="D51" s="1">
        <v>0.87045762083817013</v>
      </c>
      <c r="G51">
        <v>14</v>
      </c>
      <c r="H51">
        <f t="shared" si="0"/>
        <v>0.24017312770585436</v>
      </c>
      <c r="I51" s="5">
        <f>A58</f>
        <v>0.63203454659435354</v>
      </c>
    </row>
    <row r="52" spans="1:9" x14ac:dyDescent="0.45">
      <c r="B52" s="2">
        <v>0.51041666666666696</v>
      </c>
      <c r="C52" s="1">
        <v>0.66064815239004271</v>
      </c>
      <c r="D52" s="1">
        <v>0.84353822633796194</v>
      </c>
      <c r="G52">
        <v>15</v>
      </c>
      <c r="H52">
        <f t="shared" ref="H52:H60" si="1">0.38*I53</f>
        <v>0.23123051388507571</v>
      </c>
      <c r="I52" s="5">
        <f>A62</f>
        <v>0.60450801819233946</v>
      </c>
    </row>
    <row r="53" spans="1:9" x14ac:dyDescent="0.45">
      <c r="B53" s="2">
        <v>0.52083333333333304</v>
      </c>
      <c r="C53" s="1">
        <v>0.6599489192852348</v>
      </c>
      <c r="D53" s="1">
        <v>0.81943708522132863</v>
      </c>
      <c r="G53">
        <v>16</v>
      </c>
      <c r="H53">
        <f t="shared" si="1"/>
        <v>0.24474179924949788</v>
      </c>
      <c r="I53" s="5">
        <f>A66</f>
        <v>0.60850135232914659</v>
      </c>
    </row>
    <row r="54" spans="1:9" x14ac:dyDescent="0.45">
      <c r="A54" s="5">
        <f>AVERAGE(C51:C54)</f>
        <v>0.66015169634008775</v>
      </c>
      <c r="B54" s="2">
        <v>0.53125</v>
      </c>
      <c r="C54" s="1">
        <v>0.65581732321381625</v>
      </c>
      <c r="D54" s="1">
        <v>0.8066924672611816</v>
      </c>
      <c r="G54">
        <v>17</v>
      </c>
      <c r="H54">
        <f t="shared" si="1"/>
        <v>0.28425460533101504</v>
      </c>
      <c r="I54" s="5">
        <f>A70</f>
        <v>0.64405736644604705</v>
      </c>
    </row>
    <row r="55" spans="1:9" x14ac:dyDescent="0.45">
      <c r="B55" s="2">
        <v>0.54166666666666696</v>
      </c>
      <c r="C55" s="1">
        <v>0.64652347149898515</v>
      </c>
      <c r="D55" s="1">
        <v>0.80897585174308839</v>
      </c>
      <c r="G55">
        <v>18</v>
      </c>
      <c r="H55">
        <f t="shared" si="1"/>
        <v>0.3426085543175581</v>
      </c>
      <c r="I55" s="5">
        <f>A74</f>
        <v>0.74803843508161849</v>
      </c>
    </row>
    <row r="56" spans="1:9" x14ac:dyDescent="0.45">
      <c r="B56" s="2">
        <v>0.55208333333333304</v>
      </c>
      <c r="C56" s="1">
        <v>0.63668647125352662</v>
      </c>
      <c r="D56" s="1">
        <v>0.8308526167451552</v>
      </c>
      <c r="G56">
        <v>19</v>
      </c>
      <c r="H56">
        <f t="shared" si="1"/>
        <v>0.37739640586092438</v>
      </c>
      <c r="I56" s="5">
        <f>A78</f>
        <v>0.90160145873041597</v>
      </c>
    </row>
    <row r="57" spans="1:9" x14ac:dyDescent="0.45">
      <c r="B57" s="2">
        <v>0.5625</v>
      </c>
      <c r="C57" s="1">
        <v>0.62663613804235874</v>
      </c>
      <c r="D57" s="1">
        <v>0.85238881758243878</v>
      </c>
      <c r="G57">
        <v>20</v>
      </c>
      <c r="H57">
        <f t="shared" si="1"/>
        <v>0.36892098087403252</v>
      </c>
      <c r="I57" s="5">
        <f>A82</f>
        <v>0.99314843647611672</v>
      </c>
    </row>
    <row r="58" spans="1:9" x14ac:dyDescent="0.45">
      <c r="A58" s="5">
        <f>AVERAGE(C55:C58)</f>
        <v>0.63203454659435354</v>
      </c>
      <c r="B58" s="2">
        <v>0.57291666666666696</v>
      </c>
      <c r="C58" s="1">
        <v>0.61829210558254366</v>
      </c>
      <c r="D58" s="1">
        <v>0.87389522651287321</v>
      </c>
      <c r="G58">
        <v>21</v>
      </c>
      <c r="H58">
        <f t="shared" si="1"/>
        <v>0.33483045571299763</v>
      </c>
      <c r="I58" s="5">
        <f>A86</f>
        <v>0.97084468651061184</v>
      </c>
    </row>
    <row r="59" spans="1:9" x14ac:dyDescent="0.45">
      <c r="B59" s="2">
        <v>0.58333333333333304</v>
      </c>
      <c r="C59" s="1">
        <v>0.61095582521264757</v>
      </c>
      <c r="D59" s="1">
        <v>0.89443846159604024</v>
      </c>
      <c r="G59">
        <v>22</v>
      </c>
      <c r="H59">
        <f t="shared" si="1"/>
        <v>0.28178526548255228</v>
      </c>
      <c r="I59" s="5">
        <f>A90</f>
        <v>0.88113277819209901</v>
      </c>
    </row>
    <row r="60" spans="1:9" x14ac:dyDescent="0.45">
      <c r="B60" s="2">
        <v>0.59375</v>
      </c>
      <c r="C60" s="1">
        <v>0.60470639317778652</v>
      </c>
      <c r="D60" s="1">
        <v>0.91156675057305114</v>
      </c>
      <c r="G60">
        <v>23</v>
      </c>
      <c r="H60">
        <f t="shared" si="1"/>
        <v>0.22737777290481448</v>
      </c>
      <c r="I60" s="5">
        <f>A94</f>
        <v>0.74154017232250602</v>
      </c>
    </row>
    <row r="61" spans="1:9" x14ac:dyDescent="0.45">
      <c r="B61" s="2">
        <v>0.60416666666666696</v>
      </c>
      <c r="C61" s="1">
        <v>0.6017897971844397</v>
      </c>
      <c r="D61" s="1">
        <v>0.94020913682057372</v>
      </c>
      <c r="G61">
        <v>24</v>
      </c>
      <c r="H61">
        <f>I61*0.38</f>
        <v>0.22737777290481448</v>
      </c>
      <c r="I61" s="5">
        <f>A98</f>
        <v>0.59836256027582757</v>
      </c>
    </row>
    <row r="62" spans="1:9" x14ac:dyDescent="0.45">
      <c r="A62" s="5">
        <f>AVERAGE(C59:C62)</f>
        <v>0.60450801819233946</v>
      </c>
      <c r="B62" s="2">
        <v>0.61458333333333304</v>
      </c>
      <c r="C62" s="1">
        <v>0.60058005719448393</v>
      </c>
      <c r="D62" s="1">
        <v>0.9616151649674507</v>
      </c>
      <c r="H62" s="5">
        <f>SUM(H38:H61)</f>
        <v>5.9434946047697705</v>
      </c>
    </row>
    <row r="63" spans="1:9" x14ac:dyDescent="0.45">
      <c r="B63" s="2">
        <v>0.625</v>
      </c>
      <c r="C63" s="1">
        <v>0.60136058979155149</v>
      </c>
      <c r="D63" s="1">
        <v>0.97945621130941019</v>
      </c>
    </row>
    <row r="64" spans="1:9" x14ac:dyDescent="0.45">
      <c r="B64" s="2">
        <v>0.63541666666666696</v>
      </c>
      <c r="C64" s="1">
        <v>0.60493179437242883</v>
      </c>
      <c r="D64" s="1">
        <v>0.9829831336541317</v>
      </c>
    </row>
    <row r="65" spans="1:4" x14ac:dyDescent="0.45">
      <c r="B65" s="2">
        <v>0.64583333333333304</v>
      </c>
      <c r="C65" s="1">
        <v>0.61008960584923866</v>
      </c>
      <c r="D65" s="1">
        <v>0.9765282364745459</v>
      </c>
    </row>
    <row r="66" spans="1:4" x14ac:dyDescent="0.45">
      <c r="A66" s="5">
        <f>AVERAGE(C63:C66)</f>
        <v>0.60850135232914659</v>
      </c>
      <c r="B66" s="2">
        <v>0.65625</v>
      </c>
      <c r="C66" s="1">
        <v>0.6176234193033675</v>
      </c>
      <c r="D66" s="1">
        <v>0.97796463148225177</v>
      </c>
    </row>
    <row r="67" spans="1:4" x14ac:dyDescent="0.45">
      <c r="B67" s="2">
        <v>0.66666666666666696</v>
      </c>
      <c r="C67" s="1">
        <v>0.62575020080706678</v>
      </c>
      <c r="D67" s="1">
        <v>0.98631020384997026</v>
      </c>
    </row>
    <row r="68" spans="1:4" x14ac:dyDescent="0.45">
      <c r="B68" s="2">
        <v>0.67708333333333304</v>
      </c>
      <c r="C68" s="1">
        <v>0.63544293859223233</v>
      </c>
      <c r="D68" s="1">
        <v>0.99014230934098446</v>
      </c>
    </row>
    <row r="69" spans="1:4" x14ac:dyDescent="0.45">
      <c r="B69" s="2">
        <v>0.6875</v>
      </c>
      <c r="C69" s="1">
        <v>0.64840913131711797</v>
      </c>
      <c r="D69" s="1">
        <v>0.99645372658956188</v>
      </c>
    </row>
    <row r="70" spans="1:4" x14ac:dyDescent="0.45">
      <c r="A70" s="5">
        <f>AVERAGE(C67:C70)</f>
        <v>0.64405736644604705</v>
      </c>
      <c r="B70" s="2">
        <v>0.69791666666666696</v>
      </c>
      <c r="C70" s="1">
        <v>0.66662719506777079</v>
      </c>
      <c r="D70" s="1">
        <v>1</v>
      </c>
    </row>
    <row r="71" spans="1:4" x14ac:dyDescent="0.45">
      <c r="B71" s="2">
        <v>0.70833333333333304</v>
      </c>
      <c r="C71" s="1">
        <v>0.6930459835685252</v>
      </c>
      <c r="D71" s="1">
        <v>0.99158892219913053</v>
      </c>
    </row>
    <row r="72" spans="1:4" x14ac:dyDescent="0.45">
      <c r="B72" s="2">
        <v>0.71875</v>
      </c>
      <c r="C72" s="1">
        <v>0.7274702196548094</v>
      </c>
      <c r="D72" s="1">
        <v>0.98368711586299518</v>
      </c>
    </row>
    <row r="73" spans="1:4" x14ac:dyDescent="0.45">
      <c r="B73" s="2">
        <v>0.72916666666666696</v>
      </c>
      <c r="C73" s="1">
        <v>0.7656154177216824</v>
      </c>
      <c r="D73" s="1">
        <v>0.97008359234390773</v>
      </c>
    </row>
    <row r="74" spans="1:4" x14ac:dyDescent="0.45">
      <c r="A74" s="5">
        <f>AVERAGE(C71:C74)</f>
        <v>0.74803843508161849</v>
      </c>
      <c r="B74" s="2">
        <v>0.73958333333333304</v>
      </c>
      <c r="C74" s="1">
        <v>0.80602211938145651</v>
      </c>
      <c r="D74" s="1">
        <v>0.9565069578613532</v>
      </c>
    </row>
    <row r="75" spans="1:4" x14ac:dyDescent="0.45">
      <c r="A75" s="5"/>
      <c r="B75" s="2">
        <v>0.75</v>
      </c>
      <c r="C75" s="1">
        <v>0.84583120734615691</v>
      </c>
      <c r="D75" s="1">
        <v>0.93229245820438522</v>
      </c>
    </row>
    <row r="76" spans="1:4" x14ac:dyDescent="0.45">
      <c r="B76" s="2">
        <v>0.76041666666666696</v>
      </c>
      <c r="C76" s="1">
        <v>0.8847495922868176</v>
      </c>
      <c r="D76" s="1">
        <v>0.90475655195612459</v>
      </c>
    </row>
    <row r="77" spans="1:4" x14ac:dyDescent="0.45">
      <c r="B77" s="2">
        <v>0.77083333333333304</v>
      </c>
      <c r="C77" s="1">
        <v>0.92133072845079567</v>
      </c>
      <c r="D77" s="1">
        <v>0.88068531252489868</v>
      </c>
    </row>
    <row r="78" spans="1:4" x14ac:dyDescent="0.45">
      <c r="A78" s="5">
        <f>AVERAGE(C75:C78)</f>
        <v>0.90160145873041597</v>
      </c>
      <c r="B78" s="2">
        <v>0.78125</v>
      </c>
      <c r="C78" s="1">
        <v>0.95449430683789394</v>
      </c>
      <c r="D78" s="1">
        <v>0.84819429604139795</v>
      </c>
    </row>
    <row r="79" spans="1:4" x14ac:dyDescent="0.45">
      <c r="B79" s="2">
        <v>0.79166666666666696</v>
      </c>
      <c r="C79" s="1">
        <v>0.97946836252673142</v>
      </c>
      <c r="D79" s="1">
        <v>0.81503771098168287</v>
      </c>
    </row>
    <row r="80" spans="1:4" x14ac:dyDescent="0.45">
      <c r="B80" s="2">
        <v>0.80208333333333304</v>
      </c>
      <c r="C80" s="1">
        <v>0.99407853308948368</v>
      </c>
      <c r="D80" s="1">
        <v>0.79471649986520077</v>
      </c>
    </row>
    <row r="81" spans="1:4" x14ac:dyDescent="0.45">
      <c r="A81" s="5"/>
      <c r="B81" s="2">
        <v>0.8125</v>
      </c>
      <c r="C81" s="1">
        <v>1</v>
      </c>
      <c r="D81" s="1">
        <v>0.77066717638067606</v>
      </c>
    </row>
    <row r="82" spans="1:4" x14ac:dyDescent="0.45">
      <c r="A82" s="5">
        <f>AVERAGE(C79:C82)</f>
        <v>0.99314843647611672</v>
      </c>
      <c r="B82" s="2">
        <v>0.82291666666666696</v>
      </c>
      <c r="C82" s="1">
        <v>0.99904685028825158</v>
      </c>
      <c r="D82" s="1">
        <v>0.7453222951427092</v>
      </c>
    </row>
    <row r="83" spans="1:4" x14ac:dyDescent="0.45">
      <c r="B83" s="2">
        <v>0.83333333333333304</v>
      </c>
      <c r="C83" s="1">
        <v>0.99162650550923281</v>
      </c>
      <c r="D83" s="1">
        <v>0.71841748361330759</v>
      </c>
    </row>
    <row r="84" spans="1:4" x14ac:dyDescent="0.45">
      <c r="B84" s="2">
        <v>0.84375</v>
      </c>
      <c r="C84" s="1">
        <v>0.98031060289829863</v>
      </c>
      <c r="D84" s="1">
        <v>0.69870713840080689</v>
      </c>
    </row>
    <row r="85" spans="1:4" x14ac:dyDescent="0.45">
      <c r="B85" s="2">
        <v>0.85416666666666696</v>
      </c>
      <c r="C85" s="1">
        <v>0.96505737302853112</v>
      </c>
      <c r="D85" s="1">
        <v>0.67493266101023686</v>
      </c>
    </row>
    <row r="86" spans="1:4" x14ac:dyDescent="0.45">
      <c r="A86" s="5">
        <f>AVERAGE(C83:C86)</f>
        <v>0.97084468651061184</v>
      </c>
      <c r="B86" s="2">
        <v>0.86458333333333304</v>
      </c>
      <c r="C86" s="1">
        <v>0.94638426460638481</v>
      </c>
      <c r="D86" s="1">
        <v>0.64473200090135963</v>
      </c>
    </row>
    <row r="87" spans="1:4" x14ac:dyDescent="0.45">
      <c r="B87" s="2">
        <v>0.875</v>
      </c>
      <c r="C87" s="1">
        <v>0.92388368537905119</v>
      </c>
      <c r="D87" s="1">
        <v>0.61816624339964055</v>
      </c>
    </row>
    <row r="88" spans="1:4" x14ac:dyDescent="0.45">
      <c r="B88" s="2">
        <v>0.88541666666666696</v>
      </c>
      <c r="C88" s="1">
        <v>0.89768112176474568</v>
      </c>
      <c r="D88" s="1">
        <v>0.58965716520251188</v>
      </c>
    </row>
    <row r="89" spans="1:4" x14ac:dyDescent="0.45">
      <c r="B89" s="2">
        <v>0.89583333333333304</v>
      </c>
      <c r="C89" s="1">
        <v>0.86825289532358019</v>
      </c>
      <c r="D89" s="1">
        <v>0.55968083865408591</v>
      </c>
    </row>
    <row r="90" spans="1:4" x14ac:dyDescent="0.45">
      <c r="A90" s="5">
        <f>AVERAGE(C87:C90)</f>
        <v>0.88113277819209901</v>
      </c>
      <c r="B90" s="2">
        <v>0.90625</v>
      </c>
      <c r="C90" s="1">
        <v>0.83471341030101887</v>
      </c>
      <c r="D90" s="1">
        <v>0.53116696549475384</v>
      </c>
    </row>
    <row r="91" spans="1:4" x14ac:dyDescent="0.45">
      <c r="B91" s="2">
        <v>0.91666666666666696</v>
      </c>
      <c r="C91" s="1">
        <v>0.7987387660901113</v>
      </c>
      <c r="D91" s="1">
        <v>0.50699862074552926</v>
      </c>
    </row>
    <row r="92" spans="1:4" x14ac:dyDescent="0.45">
      <c r="B92" s="2">
        <v>0.92708333333333304</v>
      </c>
      <c r="C92" s="1">
        <v>0.76091682406440719</v>
      </c>
      <c r="D92" s="1">
        <v>0.48538288405723701</v>
      </c>
    </row>
    <row r="93" spans="1:4" x14ac:dyDescent="0.45">
      <c r="B93" s="2">
        <v>0.9375</v>
      </c>
      <c r="C93" s="1">
        <v>0.72296652913848303</v>
      </c>
      <c r="D93" s="1">
        <v>0.46271048943204474</v>
      </c>
    </row>
    <row r="94" spans="1:4" x14ac:dyDescent="0.45">
      <c r="A94" s="5">
        <f>AVERAGE(C91:C94)</f>
        <v>0.74154017232250602</v>
      </c>
      <c r="B94" s="2">
        <v>0.94791666666666696</v>
      </c>
      <c r="C94" s="1">
        <v>0.683538569997023</v>
      </c>
      <c r="D94" s="1">
        <v>0.43474942786406851</v>
      </c>
    </row>
    <row r="95" spans="1:4" x14ac:dyDescent="0.45">
      <c r="B95" s="2">
        <v>0.95833333333333304</v>
      </c>
      <c r="C95" s="1">
        <v>0.64667977073595828</v>
      </c>
      <c r="D95" s="1">
        <v>0.41534887747335719</v>
      </c>
    </row>
    <row r="96" spans="1:4" x14ac:dyDescent="0.45">
      <c r="B96" s="2">
        <v>0.96875</v>
      </c>
      <c r="C96" s="1">
        <v>0.61223362750681443</v>
      </c>
      <c r="D96" s="1">
        <v>0.39134202397276779</v>
      </c>
    </row>
    <row r="97" spans="1:4" x14ac:dyDescent="0.45">
      <c r="B97" s="2">
        <v>0.97916666666666696</v>
      </c>
      <c r="C97" s="1">
        <v>0.58108659173016042</v>
      </c>
      <c r="D97" s="1">
        <v>0.37091459601379695</v>
      </c>
    </row>
    <row r="98" spans="1:4" x14ac:dyDescent="0.45">
      <c r="A98" s="5">
        <f>AVERAGE(C95:C98)</f>
        <v>0.59836256027582757</v>
      </c>
      <c r="B98" s="2">
        <v>0.98958333333333304</v>
      </c>
      <c r="C98" s="1">
        <v>0.55345025113037716</v>
      </c>
      <c r="D98" s="1">
        <v>0.35371920913915139</v>
      </c>
    </row>
    <row r="99" spans="1:4" x14ac:dyDescent="0.45">
      <c r="C99">
        <f>SUM(C3:C98)*15/60</f>
        <v>15.646920733626439</v>
      </c>
      <c r="D99">
        <f>SUM(D3:D98)*15/60</f>
        <v>15.958848806207811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JAIME SUAREZ LONDONO</dc:creator>
  <cp:lastModifiedBy>Herena</cp:lastModifiedBy>
  <dcterms:created xsi:type="dcterms:W3CDTF">2022-09-02T12:12:49Z</dcterms:created>
  <dcterms:modified xsi:type="dcterms:W3CDTF">2023-09-22T07:36:22Z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6bb131-2344-48ed-84db-fe1e84a9fae2_Enabled">
    <vt:lpwstr>true</vt:lpwstr>
  </property>
  <property fmtid="{D5CDD505-2E9C-101B-9397-08002B2CF9AE}" pid="3" name="MSIP_Label_666bb131-2344-48ed-84db-fe1e84a9fae2_SetDate">
    <vt:lpwstr>2022-09-02T12:12:51Z</vt:lpwstr>
  </property>
  <property fmtid="{D5CDD505-2E9C-101B-9397-08002B2CF9AE}" pid="4" name="MSIP_Label_666bb131-2344-48ed-84db-fe1e84a9fae2_Method">
    <vt:lpwstr>Standard</vt:lpwstr>
  </property>
  <property fmtid="{D5CDD505-2E9C-101B-9397-08002B2CF9AE}" pid="5" name="MSIP_Label_666bb131-2344-48ed-84db-fe1e84a9fae2_Name">
    <vt:lpwstr>666bb131-2344-48ed-84db-fe1e84a9fae2</vt:lpwstr>
  </property>
  <property fmtid="{D5CDD505-2E9C-101B-9397-08002B2CF9AE}" pid="6" name="MSIP_Label_666bb131-2344-48ed-84db-fe1e84a9fae2_SiteId">
    <vt:lpwstr>bf1ce8b5-5d39-4bc5-ad6e-07b3e4d7d67a</vt:lpwstr>
  </property>
  <property fmtid="{D5CDD505-2E9C-101B-9397-08002B2CF9AE}" pid="7" name="MSIP_Label_666bb131-2344-48ed-84db-fe1e84a9fae2_ActionId">
    <vt:lpwstr>8a1076a1-edce-4cc3-b26a-3b96f7e37dfe</vt:lpwstr>
  </property>
  <property fmtid="{D5CDD505-2E9C-101B-9397-08002B2CF9AE}" pid="8" name="MSIP_Label_666bb131-2344-48ed-84db-fe1e84a9fae2_ContentBits">
    <vt:lpwstr>0</vt:lpwstr>
  </property>
</Properties>
</file>