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1213d9268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apower Inputs" sheetId="1" r:id="Rbf402dac7c53485b"/>
    <x:sheet xmlns:r="http://schemas.openxmlformats.org/officeDocument/2006/relationships" name="Regulatory" sheetId="2" r:id="Rc870965be27743c0"/>
    <x:sheet xmlns:r="http://schemas.openxmlformats.org/officeDocument/2006/relationships" name="Site Evidence" sheetId="3" r:id="Ra0a4006c8ae14dcb"/>
    <x:sheet xmlns:r="http://schemas.openxmlformats.org/officeDocument/2006/relationships" name="Unknowns" sheetId="4" r:id="R5f339af7795b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4c1da11bf4a65" /><Relationship Type="http://schemas.openxmlformats.org/officeDocument/2006/relationships/theme" Target="/xl/theme/theme1.xml" Id="R3c516ebe152546a9" /><Relationship Type="http://schemas.openxmlformats.org/officeDocument/2006/relationships/sharedStrings" Target="/xl/sharedStrings.xml" Id="R54ebdf4a8a51445c" /><Relationship Type="http://schemas.openxmlformats.org/officeDocument/2006/relationships/worksheet" Target="/xl/worksheets/sheet1.xml" Id="Rbf402dac7c53485b" /><Relationship Type="http://schemas.openxmlformats.org/officeDocument/2006/relationships/worksheet" Target="/xl/worksheets/sheet2.xml" Id="Rc870965be27743c0" /><Relationship Type="http://schemas.openxmlformats.org/officeDocument/2006/relationships/worksheet" Target="/xl/worksheets/sheet3.xml" Id="Ra0a4006c8ae14dcb" /><Relationship Type="http://schemas.openxmlformats.org/officeDocument/2006/relationships/worksheet" Target="/xl/worksheets/sheet4.xml" Id="R5f339af7795b44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20" hidden="0" customWidth="1"/>
    <x:col min="5" max="5" width="26" hidden="0" customWidth="1"/>
    <x:col min="6" max="6" width="40" hidden="0" customWidth="1"/>
    <x:col min="7" max="7" width="22" hidden="0" customWidth="1"/>
    <x:col min="8" max="8" width="42" hidden="0" customWidth="1"/>
  </x:cols>
  <x:sheetData>
    <x:row r="1">
      <x:c r="A1" s="6" t="str">
        <x:v>Parameter</x:v>
      </x:c>
      <x:c r="B1" s="6" t="str">
        <x:v>Suggested value</x:v>
      </x:c>
      <x:c r="C1" s="6" t="str">
        <x:v>Unit</x:v>
      </x:c>
      <x:c r="D1" s="6" t="str">
        <x:v>Status</x:v>
      </x:c>
      <x:c r="E1" s="6" t="str">
        <x:v>Basis</x:v>
      </x:c>
      <x:c r="F1" s="6" t="str">
        <x:v>Source</x:v>
      </x:c>
      <x:c r="G1" s="6" t="str">
        <x:v>Model use</x:v>
      </x:c>
      <x:c r="H1" s="6" t="str">
        <x:v>Notes</x:v>
      </x:c>
    </x:row>
    <x:row r="2">
      <x:c r="A2" t="str">
        <x:v>MV system nominal</x:v>
      </x:c>
      <x:c r="B2" t="n">
        <x:v>13.2</x:v>
      </x:c>
      <x:c r="C2" t="str">
        <x:v>kV</x:v>
      </x:c>
      <x:c r="D2" t="str">
        <x:v>Working assumption</x:v>
      </x:c>
      <x:c r="E2" t="str">
        <x:v>Local/Group EPM evidence</x:v>
      </x:c>
      <x:c r="F2" t="str">
        <x:v>https://www.cens.com.co/Portals/cens/institucional/Especificaciones/Norma_tecnica/CNS-NT-03-10%20Electrificacion%20rural_VF.pdf</x:v>
      </x:c>
      <x:c r="G2" t="str">
        <x:v>MV bus</x:v>
      </x:c>
      <x:c r="H2" t="str">
        <x:v>Verify exact El Arenal feeder.</x:v>
      </x:c>
    </x:row>
    <x:row r="3">
      <x:c r="A3" t="str">
        <x:v>Transformer HV winding</x:v>
      </x:c>
      <x:c r="B3" t="n">
        <x:v>7.62</x:v>
      </x:c>
      <x:c r="C3" t="str">
        <x:v>kV</x:v>
      </x:c>
      <x:c r="D3" t="str">
        <x:v>Strong EPM standard</x:v>
      </x:c>
      <x:c r="E3" t="str">
        <x:v>EPM RA4-100 monophase class</x:v>
      </x:c>
      <x:c r="F3" t="str">
        <x:v>https://comercializadorenergia.epm.com.co/content/dam/epm/proveedores-y-contratistas/RA4_100.pdf</x:v>
      </x:c>
      <x:c r="G3" t="str">
        <x:v>trafo vn_hv_kv</x:v>
      </x:c>
      <x:c r="H3" t="str">
        <x:v>Phase-neutral connection on 13.2 kV system.</x:v>
      </x:c>
    </x:row>
    <x:row r="4">
      <x:c r="A4" t="str">
        <x:v>Transformer LV winding</x:v>
      </x:c>
      <x:c r="B4" t="n">
        <x:v>0.24</x:v>
      </x:c>
      <x:c r="C4" t="str">
        <x:v>kV</x:v>
      </x:c>
      <x:c r="D4" t="str">
        <x:v>Strong EPM standard</x:v>
      </x:c>
      <x:c r="E4" t="str">
        <x:v>EPM RA4-100</x:v>
      </x:c>
      <x:c r="F4" t="str">
        <x:v>https://comercializadorenergia.epm.com.co/content/dam/epm/proveedores-y-contratistas/RA4_100.pdf</x:v>
      </x:c>
      <x:c r="G4" t="str">
        <x:v>trafo vn_lv_kv</x:v>
      </x:c>
      <x:c r="H4" t="str">
        <x:v>240/120 V split-phase.</x:v>
      </x:c>
    </x:row>
    <x:row r="5">
      <x:c r="A5" t="str">
        <x:v>Transformer rating</x:v>
      </x:c>
      <x:c r="B5" t="n">
        <x:v>5</x:v>
      </x:c>
      <x:c r="C5" t="str">
        <x:v>kVA</x:v>
      </x:c>
      <x:c r="D5" t="str">
        <x:v>Project constraint</x:v>
      </x:c>
      <x:c r="E5" t="str">
        <x:v>User/HOMER case</x:v>
      </x:c>
      <x:c r="F5" t="str"/>
      <x:c r="G5" t="str">
        <x:v>trafo sn_mva</x:v>
      </x:c>
      <x:c r="H5" t="str">
        <x:v>Use 0.005 MVA in pandapower.</x:v>
      </x:c>
    </x:row>
    <x:row r="6">
      <x:c r="A6" t="str">
        <x:v>Transformer vk</x:v>
      </x:c>
      <x:c r="B6" t="n">
        <x:v>3</x:v>
      </x:c>
      <x:c r="C6" t="str">
        <x:v>%</x:v>
      </x:c>
      <x:c r="D6" t="str">
        <x:v>Group EPM proxy</x:v>
      </x:c>
      <x:c r="E6" t="str">
        <x:v>GM-02 / NTC 818 values</x:v>
      </x:c>
      <x:c r="F6" t="str">
        <x:v>https://www.cens.com.co/Portals/cens/institucional/Especificaciones/Documentos-en-revision/norma-tecnica/Guias-complementarias-de-dise%C3%B1o-grupo-EPM/GM-02-guia-metodologica-calculo-de-perdidas-de-energia-.pdf</x:v>
      </x:c>
      <x:c r="G6" t="str">
        <x:v>trafo vk_percent</x:v>
      </x:c>
      <x:c r="H6" t="str">
        <x:v>5 kVA monophase maximum admissible short-circuit voltage.</x:v>
      </x:c>
    </x:row>
    <x:row r="7">
      <x:c r="A7" t="str">
        <x:v>Transformer load loss</x:v>
      </x:c>
      <x:c r="B7" t="n">
        <x:v>90</x:v>
      </x:c>
      <x:c r="C7" t="str">
        <x:v>W</x:v>
      </x:c>
      <x:c r="D7" t="str">
        <x:v>Group EPM proxy</x:v>
      </x:c>
      <x:c r="E7" t="str">
        <x:v>GM-02 / NTC 818 values</x:v>
      </x:c>
      <x:c r="F7" t="str">
        <x:v>https://www.cens.com.co/Portals/cens/institucional/Especificaciones/Documentos-en-revision/norma-tecnica/Guias-complementarias-de-dise%C3%B1o-grupo-EPM/GM-02-guia-metodologica-calculo-de-perdidas-de-energia-.pdf</x:v>
      </x:c>
      <x:c r="G7" t="str">
        <x:v>derive vkr_percent</x:v>
      </x:c>
      <x:c r="H7" t="str">
        <x:v>At rated load, 85 C.</x:v>
      </x:c>
    </x:row>
    <x:row r="8">
      <x:c r="A8" t="str">
        <x:v>Transformer no-load loss</x:v>
      </x:c>
      <x:c r="B8" t="n">
        <x:v>30</x:v>
      </x:c>
      <x:c r="C8" t="str">
        <x:v>W</x:v>
      </x:c>
      <x:c r="D8" t="str">
        <x:v>Group EPM proxy</x:v>
      </x:c>
      <x:c r="E8" t="str">
        <x:v>GM-02 / NTC 818 values</x:v>
      </x:c>
      <x:c r="F8" t="str">
        <x:v>https://www.cens.com.co/Portals/cens/institucional/Especificaciones/Documentos-en-revision/norma-tecnica/Guias-complementarias-de-dise%C3%B1o-grupo-EPM/GM-02-guia-metodologica-calculo-de-perdidas-de-energia-.pdf</x:v>
      </x:c>
      <x:c r="G8" t="str">
        <x:v>trafo pfe_kw</x:v>
      </x:c>
      <x:c r="H8" t="str">
        <x:v>Use 0.03 kW.</x:v>
      </x:c>
    </x:row>
    <x:row r="9">
      <x:c r="A9" t="str">
        <x:v>Transformer i0</x:v>
      </x:c>
      <x:c r="B9" t="n">
        <x:v>2.5</x:v>
      </x:c>
      <x:c r="C9" t="str">
        <x:v>%</x:v>
      </x:c>
      <x:c r="D9" t="str">
        <x:v>Group EPM proxy</x:v>
      </x:c>
      <x:c r="E9" t="str">
        <x:v>GM-02 / NTC 818 values</x:v>
      </x:c>
      <x:c r="F9" t="str">
        <x:v>https://www.cens.com.co/Portals/cens/institucional/Especificaciones/Documentos-en-revision/norma-tecnica/Guias-complementarias-de-dise%C3%B1o-grupo-EPM/GM-02-guia-metodologica-calculo-de-perdidas-de-energia-.pdf</x:v>
      </x:c>
      <x:c r="G9" t="str">
        <x:v>trafo i0_percent</x:v>
      </x:c>
      <x:c r="H9" t="str">
        <x:v>5 kVA monophase value.</x:v>
      </x:c>
    </x:row>
    <x:row r="10">
      <x:c r="A10" t="str">
        <x:v>MV conductor proxy</x:v>
      </x:c>
      <x:c r="B10" t="str">
        <x:v>ACSR 2/0</x:v>
      </x:c>
      <x:c r="C10" t="str"/>
      <x:c r="D10" t="str">
        <x:v>Proxy</x:v>
      </x:c>
      <x:c r="E10" t="str">
        <x:v>CENS rural standard minimum</x:v>
      </x:c>
      <x:c r="F10" t="str">
        <x:v>https://www.cens.com.co/Portals/cens/institucional/Especificaciones/Norma_tecnica/CNS-NT-03-10%20Electrificacion%20rural_VF.pdf</x:v>
      </x:c>
      <x:c r="G10" t="str">
        <x:v>line type</x:v>
      </x:c>
      <x:c r="H10" t="str">
        <x:v>Do not call this actual El Arenal conductor.</x:v>
      </x:c>
    </x:row>
    <x:row r="11">
      <x:c r="A11" t="str">
        <x:v>MV ACSR 2/0 Rdc</x:v>
      </x:c>
      <x:c r="B11" t="n">
        <x:v>0.4148</x:v>
      </x:c>
      <x:c r="C11" t="str">
        <x:v>ohm/km</x:v>
      </x:c>
      <x:c r="D11" t="str">
        <x:v>EPM standard conductor property</x:v>
      </x:c>
      <x:c r="E11" t="str">
        <x:v>Grupo EPM cable specification</x:v>
      </x:c>
      <x:c r="F11" t="str">
        <x:v>https://www.epm.com.co/content/dam/epm/proveedores-y-contratistas/ET-TD-ME01-03.pdf</x:v>
      </x:c>
      <x:c r="G11" t="str">
        <x:v>line r_ohm_per_km</x:v>
      </x:c>
      <x:c r="H11" t="str">
        <x:v>20 C DC resistance. AC/R/X still needs modelling assumption.</x:v>
      </x:c>
    </x:row>
    <x:row r="12">
      <x:c r="A12" t="str">
        <x:v>LV conductor proxy</x:v>
      </x:c>
      <x:c r="B12" t="str">
        <x:v>2x4 AWG AAC + 4 AWG neutral</x:v>
      </x:c>
      <x:c r="C12" t="str">
        <x:v>triplex</x:v>
      </x:c>
      <x:c r="D12" t="str">
        <x:v>Proxy</x:v>
      </x:c>
      <x:c r="E12" t="str">
        <x:v>Group EPM rural minimum / multiplex catalogue</x:v>
      </x:c>
      <x:c r="F12" t="str">
        <x:v>https://www.cens.com.co/Portals/cens/institucional/Especificaciones/Especificaciones-tecnicas-cables-y-alambres/ET-TD-ME01-06Cables-Aluminio-Multiplex-Baja-Tension.pdf</x:v>
      </x:c>
      <x:c r="G12" t="str">
        <x:v>LV line type</x:v>
      </x:c>
      <x:c r="H12" t="str">
        <x:v>Triplex 600 V XLPE.</x:v>
      </x:c>
    </x:row>
    <x:row r="13">
      <x:c r="A13" t="str">
        <x:v>LV 4 AWG phase Rdc</x:v>
      </x:c>
      <x:c r="B13" t="n">
        <x:v>1.36</x:v>
      </x:c>
      <x:c r="C13" t="str">
        <x:v>ohm/km</x:v>
      </x:c>
      <x:c r="D13" t="str">
        <x:v>Group EPM property</x:v>
      </x:c>
      <x:c r="E13" t="str">
        <x:v>ET-TD-ME01-06</x:v>
      </x:c>
      <x:c r="F13" t="str">
        <x:v>https://www.cens.com.co/Portals/cens/institucional/Especificaciones/Especificaciones-tecnicas-cables-y-alambres/ET-TD-ME01-06Cables-Aluminio-Multiplex-Baja-Tension.pdf</x:v>
      </x:c>
      <x:c r="G13" t="str">
        <x:v>line r_ohm_per_km</x:v>
      </x:c>
      <x:c r="H13" t="str">
        <x:v>20 C DC value.</x:v>
      </x:c>
    </x:row>
    <x:row r="14">
      <x:c r="A14" t="str">
        <x:v>Rural LV voltage regulation</x:v>
      </x:c>
      <x:c r="B14" t="n">
        <x:v>3</x:v>
      </x:c>
      <x:c r="C14" t="str">
        <x:v>%</x:v>
      </x:c>
      <x:c r="D14" t="str">
        <x:v>Proxy design criterion</x:v>
      </x:c>
      <x:c r="E14" t="str">
        <x:v>CENS rural standard</x:v>
      </x:c>
      <x:c r="F14" t="str">
        <x:v>https://www.cens.com.co/Portals/cens/institucional/Especificaciones/Norma_tecnica/CNS-NT-03-10%20Electrificacion%20rural_VF.pdf</x:v>
      </x:c>
      <x:c r="G14" t="str">
        <x:v>validation</x:v>
      </x:c>
      <x:c r="H14" t="str">
        <x:v>Secondary-network regulation criterion.</x:v>
      </x:c>
    </x:row>
    <x:row r="15">
      <x:c r="A15" t="str">
        <x:v>Rural voltage operating range</x:v>
      </x:c>
      <x:c r="B15" t="str">
        <x:v>+5 / -10</x:v>
      </x:c>
      <x:c r="C15" t="str">
        <x:v>%</x:v>
      </x:c>
      <x:c r="D15" t="str">
        <x:v>Proxy design criterion</x:v>
      </x:c>
      <x:c r="E15" t="str">
        <x:v>CENS rural standard</x:v>
      </x:c>
      <x:c r="F15" t="str">
        <x:v>https://www.cens.com.co/Portals/cens/institucional/Especificaciones/Norma_tecnica/CNS-NT-03-10%20Electrificacion%20rural_VF.pdf</x:v>
      </x:c>
      <x:c r="G15" t="str">
        <x:v>validation</x:v>
      </x:c>
      <x:c r="H15" t="str">
        <x:v>Use separately from CREG connection limits.</x:v>
      </x:c>
    </x:row>
    <x:row r="17">
      <x:c r="A17" t="str">
        <x:v>Derived transformer parameter</x:v>
      </x:c>
      <x:c r="B17" t="str">
        <x:v>Formula/result</x:v>
      </x:c>
      <x:c r="C17" t="str">
        <x:v>Unit</x:v>
      </x:c>
    </x:row>
    <x:row r="18">
      <x:c r="A18" t="str">
        <x:v>vkr_percent</x:v>
      </x:c>
      <x:c r="B18" t="n">
        <x:f>B7/(B5*1000)*100</x:f>
        <x:v>1.7999999999999998</x:v>
      </x:c>
      <x:c r="C18" t="str">
        <x:v>%</x:v>
      </x:c>
    </x:row>
    <x:row r="19">
      <x:c r="A19" t="str">
        <x:v>x_percent</x:v>
      </x:c>
      <x:c r="B19" t="n">
        <x:f>SQRT(B6^2-B18^2)</x:f>
        <x:v>2.4000000000000004</x:v>
      </x:c>
      <x:c r="C19" t="str">
        <x:v>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34" hidden="0" customWidth="1"/>
    <x:col min="5" max="5" width="45" hidden="0" customWidth="1"/>
    <x:col min="6" max="6" width="42" hidden="0" customWidth="1"/>
    <x:col min="7" max="7" width="24" hidden="0" customWidth="1"/>
  </x:cols>
  <x:sheetData>
    <x:row r="1">
      <x:c r="A1" s="6" t="str">
        <x:v>Rule</x:v>
      </x:c>
      <x:c r="B1" s="6" t="str">
        <x:v>Value</x:v>
      </x:c>
      <x:c r="C1" s="6" t="str">
        <x:v>Applies when</x:v>
      </x:c>
      <x:c r="D1" s="6" t="str">
        <x:v>Implication for 5 kVA transformer</x:v>
      </x:c>
      <x:c r="E1" s="6" t="str">
        <x:v>What it means for our cases</x:v>
      </x:c>
      <x:c r="F1" s="6" t="str">
        <x:v>Source</x:v>
      </x:c>
      <x:c r="G1" s="6" t="str">
        <x:v>Status</x:v>
      </x:c>
    </x:row>
    <x:row r="2">
      <x:c r="A2" t="str">
        <x:v>CREG Art. 6 power availability</x:v>
      </x:c>
      <x:c r="B2" t="str">
        <x:v>&lt;= 50% of transformer/circuit nominal capacity</x:v>
      </x:c>
      <x:c r="C2" t="str">
        <x:v>AGPE/GD injecting at voltage level 1</x:v>
      </x:c>
      <x:c r="D2" t="str">
        <x:v>2.5 kW aggregate declared injection on 5 kVA transformer for the standard availability check</x:v>
      </x:c>
      <x:c r="E2" t="str">
        <x:v>A 5 kW inverter can still be used only if export is controlled/declared lower, zero-export, or the project follows the study route when availability fails.</x:v>
      </x:c>
      <x:c r="F2" t="str">
        <x:v>https://gestornormativo.creg.gov.co/gestor/entorno/docs/resolucion_creg_0174_2021.htm</x:v>
      </x:c>
      <x:c r="G2" t="str">
        <x:v>Current rule text checked 2026</x:v>
      </x:c>
    </x:row>
    <x:row r="3">
      <x:c r="A3" t="str">
        <x:v>Zero-export exemption</x:v>
      </x:c>
      <x:c r="B3" t="str">
        <x:v>Art. 6 limits do not apply</x:v>
      </x:c>
      <x:c r="C3" t="str">
        <x:v>AGPE with no export to grid</x:v>
      </x:c>
      <x:c r="D3" t="str">
        <x:v>No 2.5 kW export cap because export is zero</x:v>
      </x:c>
      <x:c r="E3" t="str">
        <x:v>Useful scenario: 5 kW inverter with export-limiting control.</x:v>
      </x:c>
      <x:c r="F3" t="str">
        <x:v>https://gestornormativo.creg.gov.co/gestor/entorno/docs/resolucion_creg_0174_2021.htm</x:v>
      </x:c>
      <x:c r="G3" t="str">
        <x:v>Current rule text checked 2026</x:v>
      </x:c>
    </x:row>
    <x:row r="4">
      <x:c r="A4" t="str">
        <x:v>Controlled maximum declared power</x:v>
      </x:c>
      <x:c r="B4" t="str">
        <x:v>May be lower than installed inverter capacity</x:v>
      </x:c>
      <x:c r="C4" t="str">
        <x:v>AGPE with verified export-control function</x:v>
      </x:c>
      <x:c r="D4" t="str">
        <x:v>Can declare/control export below installed inverter rating</x:v>
      </x:c>
      <x:c r="E4" t="str">
        <x:v>Model inverter rating and PCC export limit separately.</x:v>
      </x:c>
      <x:c r="F4" t="str">
        <x:v>https://gestornormativo.creg.gov.co/gestor/entorno/docs/concepto_creg_0002028_2025.htm</x:v>
      </x:c>
      <x:c r="G4" t="str">
        <x:v>CREG interpretation</x:v>
      </x:c>
    </x:row>
    <x:row r="5">
      <x:c r="A5" t="str">
        <x:v>No export control present</x:v>
      </x:c>
      <x:c r="B5" t="str">
        <x:v>Availability check uses installed/nominal capacity</x:v>
      </x:c>
      <x:c r="C5" t="str">
        <x:v>AGPE exporting without fixed injection control</x:v>
      </x:c>
      <x:c r="D5" t="str">
        <x:v>5 kW inverter is checked as 5 kW against the 5 kVA transformer, above the 50% availability threshold</x:v>
      </x:c>
      <x:c r="E5" t="str">
        <x:v>Would require the study/connection route rather than simple green availability.</x:v>
      </x:c>
      <x:c r="F5" t="str">
        <x:v>https://gestornormativo.creg.gov.co/gestor/entorno/docs/resolucion_creg_0174_2021.htm</x:v>
      </x:c>
      <x:c r="G5" t="str">
        <x:v>Current rule text checked 2026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0" hidden="0" customWidth="1"/>
    <x:col min="4" max="4" width="34" hidden="0" customWidth="1"/>
    <x:col min="5" max="5" width="42" hidden="0" customWidth="1"/>
    <x:col min="6" max="6" width="36" hidden="0" customWidth="1"/>
  </x:cols>
  <x:sheetData>
    <x:row r="1">
      <x:c r="A1" s="6" t="str">
        <x:v>Evidence</x:v>
      </x:c>
      <x:c r="B1" s="6" t="str">
        <x:v>Finding</x:v>
      </x:c>
      <x:c r="C1" s="6" t="str">
        <x:v>How strong</x:v>
      </x:c>
      <x:c r="D1" s="6" t="str">
        <x:v>Use</x:v>
      </x:c>
      <x:c r="E1" s="6" t="str">
        <x:v>Source</x:v>
      </x:c>
      <x:c r="F1" s="6" t="str">
        <x:v>Caution</x:v>
      </x:c>
    </x:row>
    <x:row r="2">
      <x:c r="A2" t="str">
        <x:v>EPM Geoportal</x:v>
      </x:c>
      <x:c r="B2" t="str">
        <x:v>Public ArcGIS Experience confirms an energy-network viewer exists, but no useful layer attributes were crawlable from our access.</x:v>
      </x:c>
      <x:c r="C2" t="str">
        <x:v>Medium</x:v>
      </x:c>
      <x:c r="D2" t="str">
        <x:v>Manual visual cross-check only</x:v>
      </x:c>
      <x:c r="E2" t="str">
        <x:v>https://experience.arcgis.com/experience/742f0b4891f346b68e5512f807b80387?locale=es</x:v>
      </x:c>
      <x:c r="F2" t="str">
        <x:v>Not enough for a site-specific electrical model.</x:v>
      </x:c>
    </x:row>
    <x:row r="3">
      <x:c r="A3" t="str">
        <x:v>EPM AGPE availability tool</x:v>
      </x:c>
      <x:c r="B3" t="str">
        <x:v>Official EPM instructions show the simulator can return circuit nominal voltage, transformer HV voltage, PCC voltage, transformer nominal capacity, and availability by power and energy for a selected point.</x:v>
      </x:c>
      <x:c r="C3" t="str">
        <x:v>High</x:v>
      </x:c>
      <x:c r="D3" t="str">
        <x:v>Best public route for site-specific transformer/circuit data</x:v>
      </x:c>
      <x:c r="E3" t="str">
        <x:v>https://www.epm.com.co/content/dam/epm/clientes-y-usuarios/autogeneradores/autogeneradores-1/instructivo-formulario-epm-v4-1.pdf</x:v>
      </x:c>
      <x:c r="F3" t="str">
        <x:v>Needs manual coordinate query in EPM form.</x:v>
      </x:c>
    </x:row>
    <x:row r="4">
      <x:c r="A4" t="str">
        <x:v>San Rafael rural permit</x:v>
      </x:c>
      <x:c r="B4" t="str">
        <x:v>EPM rural electrification project in San Rafael used 7.6 kV distribution and 120 V household installations.</x:v>
      </x:c>
      <x:c r="C4" t="str">
        <x:v>Medium-High local evidence</x:v>
      </x:c>
      <x:c r="D4" t="str">
        <x:v>Supports 7.62 kV phase-neutral rural architecture</x:v>
      </x:c>
      <x:c r="E4" t="str">
        <x:v>https://www.cornare.gov.co/boletin_oficial/2019/noviembre/auto/a112-1037-2019.PDF</x:v>
      </x:c>
      <x:c r="F4" t="str">
        <x:v>Different vereda, not El Arenal.</x:v>
      </x:c>
    </x:row>
    <x:row r="5">
      <x:c r="A5" t="str">
        <x:v>EPM outage records</x:v>
      </x:c>
      <x:c r="B5" t="str">
        <x:v>El Arenal is explicitly listed among San Rafael veredas affected by EPM energy interruptions.</x:v>
      </x:c>
      <x:c r="C5" t="str">
        <x:v>High</x:v>
      </x:c>
      <x:c r="D5" t="str">
        <x:v>Confirms EPM service relevance</x:v>
      </x:c>
      <x:c r="E5" t="str">
        <x:v>https://www.epm.com.co/institucional/sala-de-prensa/noticias-y-novedades/interrupciones-del-servicio-de-energia/</x:v>
      </x:c>
      <x:c r="F5" t="str">
        <x:v>No feeder parameters.</x:v>
      </x:c>
    </x:row>
    <x:row r="6">
      <x:c r="A6" t="str">
        <x:v>EPM Oriente network context</x:v>
      </x:c>
      <x:c r="B6" t="str">
        <x:v>EPM reports 9,097 km of energy networks in Oriente with voltage levels from 7.6 kV upward.</x:v>
      </x:c>
      <x:c r="C6" t="str">
        <x:v>High regional evidence</x:v>
      </x:c>
      <x:c r="D6" t="str">
        <x:v>Supports regional voltage context</x:v>
      </x:c>
      <x:c r="E6" t="str">
        <x:v>https://www.epm.com.co/institucional/sala-de-prensa/noticias-y-novedades/epm-promotor-del-desarrollo-sostenible-del-oriente-antioqueno/</x:v>
      </x:c>
      <x:c r="F6" t="str">
        <x:v>Not feeder-specific.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4" hidden="0" customWidth="1"/>
    <x:col min="4" max="4" width="42" hidden="0" customWidth="1"/>
    <x:col min="5" max="5" width="24" hidden="0" customWidth="1"/>
  </x:cols>
  <x:sheetData>
    <x:row r="1">
      <x:c r="A1" s="6" t="str">
        <x:v>Missing item</x:v>
      </x:c>
      <x:c r="B1" s="6" t="str">
        <x:v>Priority</x:v>
      </x:c>
      <x:c r="C1" s="6" t="str">
        <x:v>Why needed</x:v>
      </x:c>
      <x:c r="D1" s="6" t="str">
        <x:v>Best way to obtain</x:v>
      </x:c>
      <x:c r="E1" s="6" t="str">
        <x:v>Can we proxy?</x:v>
      </x:c>
    </x:row>
    <x:row r="2">
      <x:c r="A2" t="str">
        <x:v>Actual El Arenal transformer locations/ratings</x:v>
      </x:c>
      <x:c r="B2" t="str">
        <x:v>Critical</x:v>
      </x:c>
      <x:c r="C2" t="str">
        <x:v>Sets grouping and real grid capacity</x:v>
      </x:c>
      <x:c r="D2" t="str">
        <x:v>EPM AGPE availability simulator / client / field survey</x:v>
      </x:c>
      <x:c r="E2" t="str">
        <x:v>Only for exploratory model</x:v>
      </x:c>
    </x:row>
    <x:row r="3">
      <x:c r="A3" t="str">
        <x:v>Actual MV feeder route and conductor</x:v>
      </x:c>
      <x:c r="B3" t="str">
        <x:v>High</x:v>
      </x:c>
      <x:c r="C3" t="str">
        <x:v>Voltage drop and feeder loading</x:v>
      </x:c>
      <x:c r="D3" t="str">
        <x:v>EPM/client/field survey</x:v>
      </x:c>
      <x:c r="E3" t="str">
        <x:v>Yes, ACSR 2/0 rural proxy</x:v>
      </x:c>
    </x:row>
    <x:row r="4">
      <x:c r="A4" t="str">
        <x:v>Actual LV line routes and lengths</x:v>
      </x:c>
      <x:c r="B4" t="str">
        <x:v>High</x:v>
      </x:c>
      <x:c r="C4" t="str">
        <x:v>LV voltage rise/drop</x:v>
      </x:c>
      <x:c r="D4" t="str">
        <x:v>Image layout + one distance scale / field survey</x:v>
      </x:c>
      <x:c r="E4" t="str">
        <x:v>Yes, image-scale sensitivity</x:v>
      </x:c>
    </x:row>
    <x:row r="5">
      <x:c r="A5" t="str">
        <x:v>Actual LV conductor size</x:v>
      </x:c>
      <x:c r="B5" t="str">
        <x:v>High</x:v>
      </x:c>
      <x:c r="C5" t="str">
        <x:v>Voltage rise/drop and ampacity</x:v>
      </x:c>
      <x:c r="D5" t="str">
        <x:v>Field/client/EPM</x:v>
      </x:c>
      <x:c r="E5" t="str">
        <x:v>Yes, 4 AWG triplex rural proxy</x:v>
      </x:c>
    </x:row>
    <x:row r="6">
      <x:c r="A6" t="str">
        <x:v>Transformer impedance/nameplate</x:v>
      </x:c>
      <x:c r="B6" t="str">
        <x:v>Medium</x:v>
      </x:c>
      <x:c r="C6" t="str">
        <x:v>Accurate voltage drop and fault strength</x:v>
      </x:c>
      <x:c r="D6" t="str">
        <x:v>Transformer nameplate/EPM records</x:v>
      </x:c>
      <x:c r="E6" t="str">
        <x:v>Yes, GM-02 3% vk, 90 W load loss</x:v>
      </x:c>
    </x:row>
    <x:row r="7">
      <x:c r="A7" t="str">
        <x:v>Phase allocation of houses</x:v>
      </x:c>
      <x:c r="B7" t="str">
        <x:v>Medium</x:v>
      </x:c>
      <x:c r="C7" t="str">
        <x:v>Unbalance and neutral loading</x:v>
      </x:c>
      <x:c r="D7" t="str">
        <x:v>Field survey/EPM</x:v>
      </x:c>
      <x:c r="E7" t="str">
        <x:v>Balanced equivalent first</x:v>
      </x:c>
    </x:row>
    <x:row r="8">
      <x:c r="A8" t="str">
        <x:v>Upstream short-circuit power / R-X</x:v>
      </x:c>
      <x:c r="B8" t="str">
        <x:v>Medium</x:v>
      </x:c>
      <x:c r="C8" t="str">
        <x:v>Voltage sensitivity and fault study</x:v>
      </x:c>
      <x:c r="D8" t="str">
        <x:v>EPM connection-study inputs</x:v>
      </x:c>
      <x:c r="E8" t="str">
        <x:v>Use strong-grid sensitivity first</x:v>
      </x:c>
    </x:row>
  </x:sheetData>
  <x:pageMargins left="0.7" right="0.7" top="0.75" bottom="0.75" header="0.3" footer="0.3"/>
</x:worksheet>
</file>