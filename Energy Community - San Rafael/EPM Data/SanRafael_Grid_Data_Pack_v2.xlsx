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a0713885c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 Assets" sheetId="1" r:id="R707816718ce54de9"/>
    <x:sheet xmlns:r="http://schemas.openxmlformats.org/officeDocument/2006/relationships" name="Conductors" sheetId="2" r:id="R8a0cad4abd584430"/>
    <x:sheet xmlns:r="http://schemas.openxmlformats.org/officeDocument/2006/relationships" name="Geometry" sheetId="3" r:id="R00f437db684f4f16"/>
    <x:sheet xmlns:r="http://schemas.openxmlformats.org/officeDocument/2006/relationships" name="Transformer Model" sheetId="4" r:id="R29a4ede37e09465f"/>
    <x:sheet xmlns:r="http://schemas.openxmlformats.org/officeDocument/2006/relationships" name="Regulatory" sheetId="5" r:id="Rdf18f7fb26ea4a67"/>
    <x:sheet xmlns:r="http://schemas.openxmlformats.org/officeDocument/2006/relationships" name="Model Boundary" sheetId="6" r:id="R5600cd704a7e4e7e"/>
    <x:sheet xmlns:r="http://schemas.openxmlformats.org/officeDocument/2006/relationships" name="Remaining Gaps" sheetId="7" r:id="Ref3de91e0d6043c1"/>
    <x:sheet xmlns:r="http://schemas.openxmlformats.org/officeDocument/2006/relationships" name="Evidence Manifest" sheetId="8" r:id="Rc7217315444e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21e7c36ab44f2" /><Relationship Type="http://schemas.openxmlformats.org/officeDocument/2006/relationships/theme" Target="/xl/theme/theme1.xml" Id="R804e170f9be64615" /><Relationship Type="http://schemas.openxmlformats.org/officeDocument/2006/relationships/sharedStrings" Target="/xl/sharedStrings.xml" Id="R6364444eb7ba4cfb" /><Relationship Type="http://schemas.openxmlformats.org/officeDocument/2006/relationships/worksheet" Target="/xl/worksheets/sheet1.xml" Id="R707816718ce54de9" /><Relationship Type="http://schemas.openxmlformats.org/officeDocument/2006/relationships/worksheet" Target="/xl/worksheets/sheet2.xml" Id="R8a0cad4abd584430" /><Relationship Type="http://schemas.openxmlformats.org/officeDocument/2006/relationships/worksheet" Target="/xl/worksheets/sheet3.xml" Id="R00f437db684f4f16" /><Relationship Type="http://schemas.openxmlformats.org/officeDocument/2006/relationships/worksheet" Target="/xl/worksheets/sheet4.xml" Id="R29a4ede37e09465f" /><Relationship Type="http://schemas.openxmlformats.org/officeDocument/2006/relationships/worksheet" Target="/xl/worksheets/sheet5.xml" Id="Rdf18f7fb26ea4a67" /><Relationship Type="http://schemas.openxmlformats.org/officeDocument/2006/relationships/worksheet" Target="/xl/worksheets/sheet6.xml" Id="R5600cd704a7e4e7e" /><Relationship Type="http://schemas.openxmlformats.org/officeDocument/2006/relationships/worksheet" Target="/xl/worksheets/sheet7.xml" Id="Ref3de91e0d6043c1" /><Relationship Type="http://schemas.openxmlformats.org/officeDocument/2006/relationships/worksheet" Target="/xl/worksheets/sheet8.xml" Id="Rc7217315444e48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6.130000114440918" hidden="0" customWidth="1"/>
    <x:col min="3" max="3" width="5.75" hidden="0" customWidth="1"/>
    <x:col min="4" max="4" width="5.75" hidden="0" customWidth="1"/>
    <x:col min="5" max="5" width="5.380000114440918" hidden="0" customWidth="1"/>
    <x:col min="6" max="6" width="3.880000114440918" hidden="0" customWidth="1"/>
    <x:col min="7" max="7" width="8.880000114440918" hidden="0" customWidth="1"/>
    <x:col min="8" max="8" width="10" hidden="0" customWidth="1"/>
    <x:col min="9" max="9" width="5.75" hidden="0" customWidth="1"/>
    <x:col min="10" max="10" width="9.130000114440918" hidden="0" customWidth="1"/>
    <x:col min="11" max="11" width="13.130000114440918" hidden="0" customWidth="1"/>
    <x:col min="12" max="12" width="12.75" hidden="0" customWidth="1"/>
    <x:col min="13" max="13" width="10.5" hidden="0" customWidth="1"/>
    <x:col min="14" max="14" width="11.25" hidden="0" customWidth="1"/>
    <x:col min="15" max="15" width="15.5" hidden="0" customWidth="1"/>
    <x:col min="16" max="16" width="9.880000114440918" hidden="0" customWidth="1"/>
    <x:col min="17" max="17" width="10.25" hidden="0" customWidth="1"/>
    <x:col min="18" max="18" width="10.880000114440918" hidden="0" customWidth="1"/>
  </x:cols>
  <x:sheetData>
    <x:row r="1" ht="15" hidden="0" customHeight="1">
      <x:c r="A1" s="6" t="str">
        <x:v>Transformer</x:v>
      </x:c>
      <x:c r="B1" s="6" t="str">
        <x:v>Node</x:v>
      </x:c>
      <x:c r="C1" s="6" t="str">
        <x:v>Circuit</x:v>
      </x:c>
      <x:c r="D1" s="6" t="str">
        <x:v>Owner</x:v>
      </x:c>
      <x:c r="E1" s="6" t="str">
        <x:v>Rating</x:v>
      </x:c>
      <x:c r="F1" s="6" t="str">
        <x:v>Unit</x:v>
      </x:c>
      <x:c r="G1" s="6" t="str">
        <x:v>Primary kV</x:v>
      </x:c>
      <x:c r="H1" s="6" t="str">
        <x:v>Secondary V</x:v>
      </x:c>
      <x:c r="I1" s="6" t="str">
        <x:v>Phases</x:v>
      </x:c>
      <x:c r="J1" s="6" t="str">
        <x:v>Installation</x:v>
      </x:c>
      <x:c r="K1" s="6" t="str">
        <x:v>Insulation</x:v>
      </x:c>
      <x:c r="L1" s="6" t="str">
        <x:v>Protection</x:v>
      </x:c>
      <x:c r="M1" s="6" t="str">
        <x:v>Classification</x:v>
      </x:c>
      <x:c r="N1" s="6" t="str">
        <x:v>Vereda</x:v>
      </x:c>
      <x:c r="O1" s="6" t="str">
        <x:v>Region/Subregion</x:v>
      </x:c>
      <x:c r="P1" s="6" t="str">
        <x:v>Substation</x:v>
      </x:c>
      <x:c r="Q1" s="6" t="str">
        <x:v>Latitude</x:v>
      </x:c>
      <x:c r="R1" s="6" t="str">
        <x:v>Longitude</x:v>
      </x:c>
    </x:row>
    <x:row r="2" ht="15" hidden="0" customHeight="1">
      <x:c r="A2" t="str">
        <x:v>94022</x:v>
      </x:c>
      <x:c r="B2" t="str">
        <x:v>931076</x:v>
      </x:c>
      <x:c r="C2" t="str">
        <x:v>221-12</x:v>
      </x:c>
      <x:c r="D2" t="str">
        <x:v>EPM</x:v>
      </x:c>
      <x:c r="E2" t="n">
        <x:v>5</x:v>
      </x:c>
      <x:c r="F2" t="str">
        <x:v>kVA</x:v>
      </x:c>
      <x:c r="G2" t="n">
        <x:v>7.621</x:v>
      </x:c>
      <x:c r="H2" t="str">
        <x:v>240/120</x:v>
      </x:c>
      <x:c r="I2" t="str">
        <x:v>1F</x:v>
      </x:c>
      <x:c r="J2" t="str">
        <x:v>AEREO</x:v>
      </x:c>
      <x:c r="K2" t="str">
        <x:v>ACEITE MINERAL</x:v>
      </x:c>
      <x:c r="L2" t="str">
        <x:v>CONVENCIONAL</x:v>
      </x:c>
      <x:c r="M2" t="str">
        <x:v>RURAL</x:v>
      </x:c>
      <x:c r="N2" t="str">
        <x:v>LAS CAMELIAS</x:v>
      </x:c>
      <x:c r="O2" t="str">
        <x:v>ORIENTE / GUATAPE</x:v>
      </x:c>
      <x:c r="P2" t="str">
        <x:v>SAN CARLOS</x:v>
      </x:c>
      <x:c r="Q2" t="n">
        <x:v>6.246949759</x:v>
      </x:c>
      <x:c r="R2" t="n">
        <x:v>-75.006208238</x:v>
      </x:c>
    </x:row>
    <x:row r="3" ht="15" hidden="0" customHeight="1">
      <x:c r="A3" t="str">
        <x:v>92395</x:v>
      </x:c>
      <x:c r="B3" t="str">
        <x:v>923848</x:v>
      </x:c>
      <x:c r="C3" t="str">
        <x:v>221-12</x:v>
      </x:c>
      <x:c r="D3" t="str">
        <x:v>EPM</x:v>
      </x:c>
      <x:c r="E3" t="n">
        <x:v>5</x:v>
      </x:c>
      <x:c r="F3" t="str">
        <x:v>kVA</x:v>
      </x:c>
      <x:c r="G3" t="n">
        <x:v>7.621</x:v>
      </x:c>
      <x:c r="H3" t="str">
        <x:v>240/120</x:v>
      </x:c>
      <x:c r="I3" t="str">
        <x:v>1F</x:v>
      </x:c>
      <x:c r="J3" t="str">
        <x:v>AEREO</x:v>
      </x:c>
      <x:c r="K3" t="str">
        <x:v>ACEITE MINERAL</x:v>
      </x:c>
      <x:c r="L3" t="str">
        <x:v>CONVENCIONAL</x:v>
      </x:c>
      <x:c r="M3" t="str">
        <x:v>RURAL</x:v>
      </x:c>
      <x:c r="N3" t="str">
        <x:v>LAS CAMELIAS</x:v>
      </x:c>
      <x:c r="O3" t="str">
        <x:v>ORIENTE / GUATAPE</x:v>
      </x:c>
      <x:c r="P3" t="str">
        <x:v>SAN CARLOS</x:v>
      </x:c>
      <x:c r="Q3" t="n">
        <x:v>6.247057428</x:v>
      </x:c>
      <x:c r="R3" t="n">
        <x:v>-75.001001911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11.130000114440918" hidden="0" customWidth="1"/>
    <x:col min="3" max="3" width="5.75" hidden="0" customWidth="1"/>
    <x:col min="4" max="4" width="5.880000114440918" hidden="0" customWidth="1"/>
    <x:col min="5" max="5" width="7" hidden="0" customWidth="1"/>
    <x:col min="6" max="6" width="9.130000114440918" hidden="0" customWidth="1"/>
    <x:col min="7" max="7" width="35.25" hidden="0" customWidth="1"/>
    <x:col min="8" max="8" width="35.25" hidden="0" customWidth="1"/>
    <x:col min="9" max="9" width="38" hidden="0" customWidth="1"/>
    <x:col min="10" max="10" width="37.380001068115234" hidden="0" customWidth="1"/>
  </x:cols>
  <x:sheetData>
    <x:row r="1" ht="15" hidden="0" customHeight="1">
      <x:c r="A1" s="6" t="str">
        <x:v>Asset association</x:v>
      </x:c>
      <x:c r="B1" s="6" t="str">
        <x:v>Network level</x:v>
      </x:c>
      <x:c r="C1" s="6" t="str">
        <x:v>Circuit</x:v>
      </x:c>
      <x:c r="D1" s="6" t="str">
        <x:v>Gauge</x:v>
      </x:c>
      <x:c r="E1" s="6" t="str">
        <x:v>Material</x:v>
      </x:c>
      <x:c r="F1" s="6" t="str">
        <x:v>Installation</x:v>
      </x:c>
      <x:c r="G1" s="6" t="str">
        <x:v>Status</x:v>
      </x:c>
      <x:c r="H1" s="6" t="str">
        <x:v>EPM evidence file</x:v>
      </x:c>
      <x:c r="I1" s="6" t="str">
        <x:v>Electrical parameter status</x:v>
      </x:c>
      <x:c r="J1" s="6" t="str">
        <x:v>Notes</x:v>
      </x:c>
    </x:row>
    <x:row r="2" ht="15" hidden="0" customHeight="1">
      <x:c r="A2" t="str">
        <x:v>Transformer 94022</x:v>
      </x:c>
      <x:c r="B2" t="str">
        <x:v>Primary</x:v>
      </x:c>
      <x:c r="C2" t="str">
        <x:v>221-12</x:v>
      </x:c>
      <x:c r="D2" t="str">
        <x:v>#2</x:v>
      </x:c>
      <x:c r="E2" t="str">
        <x:v>ACSR</x:v>
      </x:c>
      <x:c r="F2" t="str">
        <x:v>AEREO</x:v>
      </x:c>
      <x:c r="G2" t="str">
        <x:v>Actual selected EPM segment</x:v>
      </x:c>
      <x:c r="H2" t="str">
        <x:v>b3de38f5-7bac-460a-939d-1280ee5ed19b.png</x:v>
      </x:c>
      <x:c r="I2" t="str">
        <x:v>R/X/ampacity from EPM technical data still required in model table</x:v>
      </x:c>
      <x:c r="J2" t="str">
        <x:v>Selected popup at transformer 94022</x:v>
      </x:c>
    </x:row>
    <x:row r="3" ht="15" hidden="0" customHeight="1">
      <x:c r="A3" t="str">
        <x:v>Transformer 94022</x:v>
      </x:c>
      <x:c r="B3" t="str">
        <x:v>Secondary</x:v>
      </x:c>
      <x:c r="C3" t="str">
        <x:v>221-12</x:v>
      </x:c>
      <x:c r="D3" t="str">
        <x:v>1/0</x:v>
      </x:c>
      <x:c r="E3" t="str">
        <x:v>AAC</x:v>
      </x:c>
      <x:c r="F3" t="str">
        <x:v>AEREO</x:v>
      </x:c>
      <x:c r="G3" t="str">
        <x:v>Actual selected EPM segment</x:v>
      </x:c>
      <x:c r="H3" t="str">
        <x:v>ace39055-0efa-4014-b355-685bae8f8306.png</x:v>
      </x:c>
      <x:c r="I3" t="str">
        <x:v>R/X/ampacity from EPM technical data still required in model table</x:v>
      </x:c>
      <x:c r="J3" t="str">
        <x:v>Selected popup at transformer 94022</x:v>
      </x:c>
    </x:row>
    <x:row r="4" ht="15" hidden="0" customHeight="1">
      <x:c r="A4" t="str">
        <x:v>Map extent</x:v>
      </x:c>
      <x:c r="B4" t="str">
        <x:v>Primary</x:v>
      </x:c>
      <x:c r="C4" t="str">
        <x:v>221-12</x:v>
      </x:c>
      <x:c r="D4" t="str">
        <x:v>#2; 4/0</x:v>
      </x:c>
      <x:c r="E4" t="str">
        <x:v>ACSR</x:v>
      </x:c>
      <x:c r="F4" t="str">
        <x:v>AEREO</x:v>
      </x:c>
      <x:c r="G4" t="str">
        <x:v>Other conductors visible in current map extent</x:v>
      </x:c>
      <x:c r="H4" t="str">
        <x:v>14214421-7234-4e8f-91cb-628f32e7972e.png</x:v>
      </x:c>
      <x:c r="I4" t="str">
        <x:v>Not assigned to 94022 unless selected</x:v>
      </x:c>
      <x:c r="J4" t="str">
        <x:v>Do not substitute for the selected 94022 segment</x:v>
      </x:c>
    </x:row>
    <x:row r="5" ht="15" hidden="0" customHeight="1">
      <x:c r="A5" t="str">
        <x:v>Map extent</x:v>
      </x:c>
      <x:c r="B5" t="str">
        <x:v>Secondary</x:v>
      </x:c>
      <x:c r="C5" t="str">
        <x:v>221-12</x:v>
      </x:c>
      <x:c r="D5" t="str">
        <x:v>#2; 1/0</x:v>
      </x:c>
      <x:c r="E5" t="str">
        <x:v>AAC</x:v>
      </x:c>
      <x:c r="F5" t="str">
        <x:v>AEREO</x:v>
      </x:c>
      <x:c r="G5" t="str">
        <x:v>Other conductors visible in current map extent</x:v>
      </x:c>
      <x:c r="H5" t="str">
        <x:v>77f7d433-6400-43ec-b5f2-56b23c66a2c1.png</x:v>
      </x:c>
      <x:c r="I5" t="str">
        <x:v>Not assigned to 94022 unless selected</x:v>
      </x:c>
      <x:c r="J5" t="str">
        <x:v>Do not substitute for the selected 94022 segment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4.630000114440918" hidden="0" customWidth="1"/>
    <x:col min="3" max="3" width="30.25" hidden="0" customWidth="1"/>
    <x:col min="4" max="4" width="8.25" hidden="0" customWidth="1"/>
    <x:col min="5" max="5" width="8.5" hidden="0" customWidth="1"/>
    <x:col min="6" max="6" width="7.630000114440918" hidden="0" customWidth="1"/>
    <x:col min="7" max="7" width="28" hidden="0" customWidth="1"/>
    <x:col min="8" max="8" width="13.130000114440918" hidden="0" customWidth="1"/>
    <x:col min="9" max="9" width="21.75" hidden="0" customWidth="1"/>
    <x:col min="10" max="10" width="34" hidden="0" customWidth="1"/>
  </x:cols>
  <x:sheetData>
    <x:row r="1" ht="15" hidden="0" customHeight="1">
      <x:c r="A1" s="6" t="str">
        <x:v>Section</x:v>
      </x:c>
      <x:c r="B1" s="6" t="str">
        <x:v>From</x:v>
      </x:c>
      <x:c r="C1" s="6" t="str">
        <x:v>To</x:v>
      </x:c>
      <x:c r="D1" s="6" t="str">
        <x:v>Voltage</x:v>
      </x:c>
      <x:c r="E1" s="6" t="str">
        <x:v>Conductor</x:v>
      </x:c>
      <x:c r="F1" s="6" t="str">
        <x:v>Length m</x:v>
      </x:c>
      <x:c r="G1" s="6" t="str">
        <x:v>Method</x:v>
      </x:c>
      <x:c r="H1" s="6" t="str">
        <x:v>Scale</x:v>
      </x:c>
      <x:c r="I1" s="6" t="str">
        <x:v>Status</x:v>
      </x:c>
      <x:c r="J1" s="6" t="str">
        <x:v>Evidence</x:v>
      </x:c>
    </x:row>
    <x:row r="2" ht="15" hidden="0" customHeight="1">
      <x:c r="A2" t="str">
        <x:v>MV_LOCAL_01</x:v>
      </x:c>
      <x:c r="B2" t="str">
        <x:v>Transformer 94022</x:v>
      </x:c>
      <x:c r="C2" t="str">
        <x:v>Chosen upstream local model boundary</x:v>
      </x:c>
      <x:c r="D2" t="str">
        <x:v>7.621 kV</x:v>
      </x:c>
      <x:c r="E2" t="str">
        <x:v>#2 ACSR</x:v>
      </x:c>
      <x:c r="F2" t="n">
        <x:v>354.2</x:v>
      </x:c>
      <x:c r="G2" t="str">
        <x:v>Polyline/image measurement</x:v>
      </x:c>
      <x:c r="H2" t="str">
        <x:v>EPM 100 m scale</x:v>
      </x:c>
      <x:c r="I2" t="str">
        <x:v>Approximate, image-derived</x:v>
      </x:c>
      <x:c r="J2" t="str">
        <x:v>epm_primary_boundary_trace_94022.png</x:v>
      </x:c>
    </x:row>
    <x:row r="3" ht="15" hidden="0" customHeight="1">
      <x:c r="A3" t="str">
        <x:v>LV_LOCAL_01</x:v>
      </x:c>
      <x:c r="B3" t="str">
        <x:v>Transformer 94022</x:v>
      </x:c>
      <x:c r="C3" t="str">
        <x:v>End of user-highlighted secondary route</x:v>
      </x:c>
      <x:c r="D3" t="str">
        <x:v>240/120 V</x:v>
      </x:c>
      <x:c r="E3" t="str">
        <x:v>1/0 AAC</x:v>
      </x:c>
      <x:c r="F3" t="n">
        <x:v>328.8</x:v>
      </x:c>
      <x:c r="G3" t="str">
        <x:v>User black polyline + pixel calibration</x:v>
      </x:c>
      <x:c r="H3" t="str">
        <x:v>EPM 30 m scale</x:v>
      </x:c>
      <x:c r="I3" t="str">
        <x:v>Approximate, image-derived</x:v>
      </x:c>
      <x:c r="J3" t="str">
        <x:v>epm_secondary_trace_94022_corrected.png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4.75" hidden="0" customWidth="1"/>
    <x:col min="3" max="3" width="3.880000114440918" hidden="0" customWidth="1"/>
    <x:col min="4" max="4" width="13.630000114440918" hidden="0" customWidth="1"/>
    <x:col min="5" max="5" width="14.630000114440918" hidden="0" customWidth="1"/>
    <x:col min="6" max="6" width="37.880001068115234" hidden="0" customWidth="1"/>
  </x:cols>
  <x:sheetData>
    <x:row r="1" ht="15" hidden="0" customHeight="1">
      <x:c r="A1" s="6" t="str">
        <x:v>Parameter</x:v>
      </x:c>
      <x:c r="B1" s="6" t="str">
        <x:v>Value</x:v>
      </x:c>
      <x:c r="C1" s="6" t="str">
        <x:v>Unit</x:v>
      </x:c>
      <x:c r="D1" s="6" t="str">
        <x:v>Status</x:v>
      </x:c>
      <x:c r="E1" s="6" t="str">
        <x:v>Use</x:v>
      </x:c>
      <x:c r="F1" s="6" t="str">
        <x:v>Source/Basis</x:v>
      </x:c>
    </x:row>
    <x:row r="2" ht="15" hidden="0" customHeight="1">
      <x:c r="A2" t="str">
        <x:v>sn</x:v>
      </x:c>
      <x:c r="B2" t="n">
        <x:v>5</x:v>
      </x:c>
      <x:c r="C2" t="str">
        <x:v>kVA</x:v>
      </x:c>
      <x:c r="D2" t="str">
        <x:v>Actual EPM</x:v>
      </x:c>
      <x:c r="E2" t="str">
        <x:v>sn_mva = 0.005</x:v>
      </x:c>
      <x:c r="F2" t="str">
        <x:v>EPM portal</x:v>
      </x:c>
    </x:row>
    <x:row r="3" ht="15" hidden="0" customHeight="1">
      <x:c r="A3" t="str">
        <x:v>vn_hv</x:v>
      </x:c>
      <x:c r="B3" t="n">
        <x:v>7.621</x:v>
      </x:c>
      <x:c r="C3" t="str">
        <x:v>kV</x:v>
      </x:c>
      <x:c r="D3" t="str">
        <x:v>Actual EPM</x:v>
      </x:c>
      <x:c r="E3" t="str">
        <x:v>vn_hv_kv</x:v>
      </x:c>
      <x:c r="F3" t="str">
        <x:v>EPM portal</x:v>
      </x:c>
    </x:row>
    <x:row r="4" ht="15" hidden="0" customHeight="1">
      <x:c r="A4" t="str">
        <x:v>vn_lv</x:v>
      </x:c>
      <x:c r="B4" t="n">
        <x:v>0.24</x:v>
      </x:c>
      <x:c r="C4" t="str">
        <x:v>kV</x:v>
      </x:c>
      <x:c r="D4" t="str">
        <x:v>Actual EPM</x:v>
      </x:c>
      <x:c r="E4" t="str">
        <x:v>vn_lv_kv</x:v>
      </x:c>
      <x:c r="F4" t="str">
        <x:v>EPM portal</x:v>
      </x:c>
    </x:row>
    <x:row r="5" ht="15" hidden="0" customHeight="1">
      <x:c r="A5" t="str">
        <x:v>vk</x:v>
      </x:c>
      <x:c r="B5" t="n">
        <x:v>3</x:v>
      </x:c>
      <x:c r="C5" t="str">
        <x:v>%</x:v>
      </x:c>
      <x:c r="D5" t="str">
        <x:v>Grupo EPM proxy</x:v>
      </x:c>
      <x:c r="E5" t="str">
        <x:v>vk_percent</x:v>
      </x:c>
      <x:c r="F5" t="str">
        <x:v>Grupo EPM / NTC 818 proxy until nameplate value</x:v>
      </x:c>
    </x:row>
    <x:row r="6" ht="15" hidden="0" customHeight="1">
      <x:c r="A6" t="str">
        <x:v>load_loss</x:v>
      </x:c>
      <x:c r="B6" t="n">
        <x:v>90</x:v>
      </x:c>
      <x:c r="C6" t="str">
        <x:v>W</x:v>
      </x:c>
      <x:c r="D6" t="str">
        <x:v>Grupo EPM proxy</x:v>
      </x:c>
      <x:c r="E6" t="str">
        <x:v>derive vkr_percent</x:v>
      </x:c>
      <x:c r="F6" t="str">
        <x:v>Grupo EPM / NTC 818 proxy</x:v>
      </x:c>
    </x:row>
    <x:row r="7" ht="15" hidden="0" customHeight="1">
      <x:c r="A7" t="str">
        <x:v>no_load_loss</x:v>
      </x:c>
      <x:c r="B7" t="n">
        <x:v>30</x:v>
      </x:c>
      <x:c r="C7" t="str">
        <x:v>W</x:v>
      </x:c>
      <x:c r="D7" t="str">
        <x:v>Grupo EPM proxy</x:v>
      </x:c>
      <x:c r="E7" t="str">
        <x:v>pfe_kw = 0.03</x:v>
      </x:c>
      <x:c r="F7" t="str">
        <x:v>Grupo EPM / NTC 818 proxy</x:v>
      </x:c>
    </x:row>
    <x:row r="8" ht="15" hidden="0" customHeight="1">
      <x:c r="A8" t="str">
        <x:v>i0</x:v>
      </x:c>
      <x:c r="B8" t="n">
        <x:v>2.5</x:v>
      </x:c>
      <x:c r="C8" t="str">
        <x:v>%</x:v>
      </x:c>
      <x:c r="D8" t="str">
        <x:v>Grupo EPM proxy</x:v>
      </x:c>
      <x:c r="E8" t="str">
        <x:v>i0_percent</x:v>
      </x:c>
      <x:c r="F8" t="str">
        <x:v>Grupo EPM / NTC 818 proxy</x:v>
      </x:c>
    </x:row>
    <x:row r="9" ht="15" hidden="0" customHeight="1">
      <x:c r="A9" t="str">
        <x:v>vkr_percent</x:v>
      </x:c>
      <x:c r="B9" t="n">
        <x:f>B6/(B2*1000)*100</x:f>
        <x:v>1.7999999999999998</x:v>
      </x:c>
      <x:c r="C9" t="str">
        <x:v>%</x:v>
      </x:c>
      <x:c r="D9" t="str">
        <x:v>Derived</x:v>
      </x:c>
      <x:c r="E9" t="str">
        <x:v>vkr_percent</x:v>
      </x:c>
      <x:c r="F9" t="str">
        <x:v>Formula from load loss and rating</x:v>
      </x:c>
    </x:row>
    <x:row r="10" ht="15" hidden="0" customHeight="1">
      <x:c r="A10" t="str">
        <x:v>x_percent</x:v>
      </x:c>
      <x:c r="B10" t="n">
        <x:f>SQRT(B5^2-B9^2)</x:f>
        <x:v>2.4000000000000004</x:v>
      </x:c>
      <x:c r="C10" t="str">
        <x:v>%</x:v>
      </x:c>
      <x:c r="D10" t="str">
        <x:v>Derived</x:v>
      </x:c>
      <x:c r="E10" t="str">
        <x:v>reactive part</x:v>
      </x:c>
      <x:c r="F10" t="str">
        <x:v>sqrt(vk^2-vkr^2)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8799991607666" hidden="0" customWidth="1"/>
    <x:col min="2" max="2" width="38" hidden="0" customWidth="1"/>
    <x:col min="3" max="3" width="38" hidden="0" customWidth="1"/>
    <x:col min="4" max="4" width="17.5" hidden="0" customWidth="1"/>
    <x:col min="5" max="5" width="38" hidden="0" customWidth="1"/>
    <x:col min="6" max="6" width="38" hidden="0" customWidth="1"/>
  </x:cols>
  <x:sheetData>
    <x:row r="1" ht="15" hidden="0" customHeight="1">
      <x:c r="A1" s="6" t="str">
        <x:v>Item</x:v>
      </x:c>
      <x:c r="B1" s="6" t="str">
        <x:v>Rule/Value</x:v>
      </x:c>
      <x:c r="C1" s="6" t="str">
        <x:v>Model implication</x:v>
      </x:c>
      <x:c r="D1" s="6" t="str">
        <x:v>Status</x:v>
      </x:c>
      <x:c r="E1" s="6" t="str">
        <x:v>Source URL</x:v>
      </x:c>
      <x:c r="F1" s="6" t="str">
        <x:v>Notes</x:v>
      </x:c>
    </x:row>
    <x:row r="2" ht="15" hidden="0" customHeight="1">
      <x:c r="A2" t="str">
        <x:v>CREG LV injection availability</x:v>
      </x:c>
      <x:c r="B2" t="str">
        <x:v>Maximum declared injection checked against 50% of transformer/circuit nominal capacity</x:v>
      </x:c>
      <x:c r="C2" t="str">
        <x:v>For a 5 kVA transformer, simple availability threshold is 2.5 kW aggregate declared injection</x:v>
      </x:c>
      <x:c r="D2" t="str">
        <x:v>External regulation</x:v>
      </x:c>
      <x:c r="E2" t="str">
        <x:v>https://gestornormativo.creg.gov.co/gestor/entorno/docs/resolucion_creg_0174_2021.htm</x:v>
      </x:c>
      <x:c r="F2" t="str">
        <x:v>Use as connection-screening scenario, not as transformer thermal rating</x:v>
      </x:c>
    </x:row>
    <x:row r="3" ht="15" hidden="0" customHeight="1">
      <x:c r="A3" t="str">
        <x:v>Zero export</x:v>
      </x:c>
      <x:c r="B3" t="str">
        <x:v>Article 6 availability limits do not apply to AGPE with no export</x:v>
      </x:c>
      <x:c r="C3" t="str">
        <x:v>Include zero-export case with 5 kW inverter if export-control is represented</x:v>
      </x:c>
      <x:c r="D3" t="str">
        <x:v>External regulation</x:v>
      </x:c>
      <x:c r="E3" t="str">
        <x:v>https://gestornormativo.creg.gov.co/gestor/entorno/docs/resolucion_creg_0174_2021.htm</x:v>
      </x:c>
      <x:c r="F3" t="str"/>
    </x:row>
    <x:row r="4" ht="15" hidden="0" customHeight="1">
      <x:c r="A4" t="str">
        <x:v>Controlled export</x:v>
      </x:c>
      <x:c r="B4" t="str">
        <x:v>Declared maximum injection may be lower than installed inverter capacity when control is verified</x:v>
      </x:c>
      <x:c r="C4" t="str">
        <x:v>Separate inverter nameplate from PCC export limit in PyPSA/pandapower scenarios</x:v>
      </x:c>
      <x:c r="D4" t="str">
        <x:v>External interpretation</x:v>
      </x:c>
      <x:c r="E4" t="str">
        <x:v>https://gestornormativo.creg.gov.co/gestor/entorno/docs/concepto_creg_0002028_2025.htm</x:v>
      </x:c>
      <x:c r="F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38" hidden="0" customWidth="1"/>
    <x:col min="3" max="3" width="38" hidden="0" customWidth="1"/>
    <x:col min="4" max="4" width="38" hidden="0" customWidth="1"/>
    <x:col min="5" max="5" width="36.5" hidden="0" customWidth="1"/>
  </x:cols>
  <x:sheetData>
    <x:row r="1" ht="15" hidden="0" customHeight="1">
      <x:c r="A1" s="6" t="str">
        <x:v>Layer</x:v>
      </x:c>
      <x:c r="B1" s="6" t="str">
        <x:v>Representation now</x:v>
      </x:c>
      <x:c r="C1" s="6" t="str">
        <x:v>Why</x:v>
      </x:c>
      <x:c r="D1" s="6" t="str">
        <x:v>Required for first model?</x:v>
      </x:c>
      <x:c r="E1" s="6" t="str">
        <x:v>Status</x:v>
      </x:c>
    </x:row>
    <x:row r="2" ht="15" hidden="0" customHeight="1">
      <x:c r="A2" t="str">
        <x:v>Upstream EPM system</x:v>
      </x:c>
      <x:c r="B2" t="str">
        <x:v>ext_grid / Thevenin equivalent at local MV boundary</x:v>
      </x:c>
      <x:c r="C2" t="str">
        <x:v>Avoid modelling the whole circuit 221-12</x:v>
      </x:c>
      <x:c r="D2" t="str">
        <x:v>Yes</x:v>
      </x:c>
      <x:c r="E2" t="str">
        <x:v>Use sensitivity until EPM short-circuit data exists</x:v>
      </x:c>
    </x:row>
    <x:row r="3" ht="15" hidden="0" customHeight="1">
      <x:c r="A3" t="str">
        <x:v>Local MV branch</x:v>
      </x:c>
      <x:c r="B3" t="str">
        <x:v>#2 ACSR, 7.621 kV, approx. 354 m</x:v>
      </x:c>
      <x:c r="C3" t="str">
        <x:v>Captures local source impedance between grid boundary and transformer</x:v>
      </x:c>
      <x:c r="D3" t="str">
        <x:v>Optional for LV-only model; yes for local MV impact</x:v>
      </x:c>
      <x:c r="E3" t="str">
        <x:v>Available approximately</x:v>
      </x:c>
    </x:row>
    <x:row r="4" ht="15" hidden="0" customHeight="1">
      <x:c r="A4" t="str">
        <x:v>Transformer</x:v>
      </x:c>
      <x:c r="B4" t="str">
        <x:v>Actual 5 kVA, 7.621/0.24 kV, 1F</x:v>
      </x:c>
      <x:c r="C4" t="str">
        <x:v>Primary local grid constraint</x:v>
      </x:c>
      <x:c r="D4" t="str">
        <x:v>Yes</x:v>
      </x:c>
      <x:c r="E4" t="str">
        <x:v>Available, impedance partly proxy</x:v>
      </x:c>
    </x:row>
    <x:row r="5" ht="15" hidden="0" customHeight="1">
      <x:c r="A5" t="str">
        <x:v>LV route</x:v>
      </x:c>
      <x:c r="B5" t="str">
        <x:v>1/0 AAC, approx. 329 m traced route</x:v>
      </x:c>
      <x:c r="C5" t="str">
        <x:v>Captures voltage rise/drop downstream</x:v>
      </x:c>
      <x:c r="D5" t="str">
        <x:v>Yes for detailed LV impact</x:v>
      </x:c>
      <x:c r="E5" t="str">
        <x:v>Available approximately</x:v>
      </x:c>
    </x:row>
    <x:row r="6" ht="15" hidden="0" customHeight="1">
      <x:c r="A6" t="str">
        <x:v>Houses/PV/BESS</x:v>
      </x:c>
      <x:c r="B6" t="str">
        <x:v>Image-based house network and scenario grouping</x:v>
      </x:c>
      <x:c r="C6" t="str">
        <x:v>Community study object</x:v>
      </x:c>
      <x:c r="D6" t="str">
        <x:v>Yes</x:v>
      </x:c>
      <x:c r="E6" t="str">
        <x:v>Available for 4-8 house grouping scenarios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.75" hidden="0" customWidth="1"/>
    <x:col min="2" max="2" width="38" hidden="0" customWidth="1"/>
    <x:col min="3" max="3" width="10.380000114440918" hidden="0" customWidth="1"/>
    <x:col min="4" max="4" width="26.5" hidden="0" customWidth="1"/>
    <x:col min="5" max="5" width="31.75" hidden="0" customWidth="1"/>
    <x:col min="6" max="6" width="38" hidden="0" customWidth="1"/>
  </x:cols>
  <x:sheetData>
    <x:row r="1" ht="15" hidden="0" customHeight="1">
      <x:c r="A1" s="6" t="str">
        <x:v>Missing item</x:v>
      </x:c>
      <x:c r="B1" s="6" t="str">
        <x:v>Needed for</x:v>
      </x:c>
      <x:c r="C1" s="6" t="str">
        <x:v>Severity</x:v>
      </x:c>
      <x:c r="D1" s="6" t="str">
        <x:v>Current treatment</x:v>
      </x:c>
      <x:c r="E1" s="6" t="str">
        <x:v>Grid-data gathering status</x:v>
      </x:c>
      <x:c r="F1" s="6" t="str">
        <x:v>Action</x:v>
      </x:c>
    </x:row>
    <x:row r="2" ht="15" hidden="0" customHeight="1">
      <x:c r="A2" t="str">
        <x:v>Upstream short-circuit strength / R-X</x:v>
      </x:c>
      <x:c r="B2" t="str">
        <x:v>Absolute MV voltage sensitivity and fault-level realism</x:v>
      </x:c>
      <x:c r="C2" t="str">
        <x:v>Medium</x:v>
      </x:c>
      <x:c r="D2" t="str">
        <x:v>Thevenin/ext_grid sensitivity</x:v>
      </x:c>
      <x:c r="E2" t="str">
        <x:v>Not required to start</x:v>
      </x:c>
      <x:c r="F2" t="str">
        <x:v>Sweep weak/medium/strong source or obtain from EPM connection study</x:v>
      </x:c>
    </x:row>
    <x:row r="3" ht="15" hidden="0" customHeight="1">
      <x:c r="A3" t="str">
        <x:v>Background load on circuit 221-12</x:v>
      </x:c>
      <x:c r="B3" t="str">
        <x:v>Whole-feeder loading and absolute upstream voltage profile</x:v>
      </x:c>
      <x:c r="C3" t="str">
        <x:v>Medium</x:v>
      </x:c>
      <x:c r="D3" t="str">
        <x:v>Incremental impact study</x:v>
      </x:c>
      <x:c r="E3" t="str">
        <x:v>Not required to start</x:v>
      </x:c>
      <x:c r="F3" t="str">
        <x:v>Add only if EPM/client provides it</x:v>
      </x:c>
    </x:row>
    <x:row r="4" ht="15" hidden="0" customHeight="1">
      <x:c r="A4" t="str">
        <x:v>Transformer nameplate impedance/losses</x:v>
      </x:c>
      <x:c r="B4" t="str">
        <x:v>Exact transformer voltage drop/loss</x:v>
      </x:c>
      <x:c r="C4" t="str">
        <x:v>Low-Medium</x:v>
      </x:c>
      <x:c r="D4" t="str">
        <x:v>Grupo EPM proxy values</x:v>
      </x:c>
      <x:c r="E4" t="str">
        <x:v>Not required to start</x:v>
      </x:c>
      <x:c r="F4" t="str">
        <x:v>Replace if nameplate/EPM record becomes available</x:v>
      </x:c>
    </x:row>
    <x:row r="5" ht="15" hidden="0" customHeight="1">
      <x:c r="A5" t="str">
        <x:v>Exact LV service branches to each house</x:v>
      </x:c>
      <x:c r="B5" t="str">
        <x:v>Individual-house voltage/unbalance</x:v>
      </x:c>
      <x:c r="C5" t="str">
        <x:v>Medium</x:v>
      </x:c>
      <x:c r="D5" t="str">
        <x:v>Image-based planned topology</x:v>
      </x:c>
      <x:c r="E5" t="str">
        <x:v>Required only for field-accurate feeder</x:v>
      </x:c>
      <x:c r="F5" t="str">
        <x:v>Use project grouping as designed network or survey actual services</x:v>
      </x:c>
    </x:row>
    <x:row r="6" ht="15" hidden="0" customHeight="1">
      <x:c r="A6" t="str">
        <x:v>Phase allocation / split-phase detail</x:v>
      </x:c>
      <x:c r="B6" t="str">
        <x:v>Unbalance and neutral current</x:v>
      </x:c>
      <x:c r="C6" t="str">
        <x:v>Medium</x:v>
      </x:c>
      <x:c r="D6" t="str">
        <x:v>Equivalent single-phase model first</x:v>
      </x:c>
      <x:c r="E6" t="str">
        <x:v>Not required for initial active-power study</x:v>
      </x:c>
      <x:c r="F6" t="str">
        <x:v>Extend with asymmetric model if needed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.6299991607666" hidden="0" customWidth="1"/>
    <x:col min="2" max="2" width="38" hidden="0" customWidth="1"/>
    <x:col min="3" max="3" width="38" hidden="0" customWidth="1"/>
  </x:cols>
  <x:sheetData>
    <x:row r="1" ht="15" hidden="0" customHeight="1">
      <x:c r="A1" s="6" t="str">
        <x:v>Evidence ID</x:v>
      </x:c>
      <x:c r="B1" s="6" t="str">
        <x:v>Filename</x:v>
      </x:c>
      <x:c r="C1" s="6" t="str">
        <x:v>Description</x:v>
      </x:c>
    </x:row>
    <x:row r="2" ht="15" hidden="0" customHeight="1">
      <x:c r="A2" t="str">
        <x:v>site_satellite_layout</x:v>
      </x:c>
      <x:c r="B2" t="str">
        <x:v>Foto satelital con viviendas en la Cuenca del Arenal.jpg</x:v>
      </x:c>
      <x:c r="C2" t="str">
        <x:v>Original community satellite image with houses 1-35</x:v>
      </x:c>
    </x:row>
    <x:row r="3" ht="15" hidden="0" customHeight="1">
      <x:c r="A3" t="str">
        <x:v>epm_initial_search</x:v>
      </x:c>
      <x:c r="B3" t="str">
        <x:v>107d0952-d200-44ad-a276-1ecdfafa18b7.png</x:v>
      </x:c>
      <x:c r="C3" t="str">
        <x:v>Initial EPM search showing nearby transformers on circuit R50-02</x:v>
      </x:c>
    </x:row>
    <x:row r="4" ht="15" hidden="0" customHeight="1">
      <x:c r="A4" t="str">
        <x:v>epm_exact_project_search</x:v>
      </x:c>
      <x:c r="B4" t="str">
        <x:v>0f2a740f-f42f-4b0b-bac7-c742b1104b73.png</x:v>
      </x:c>
      <x:c r="C4" t="str">
        <x:v>Exact project-coordinate EPM search showing circuit 221-12 and 5 kVA transformers</x:v>
      </x:c>
    </x:row>
    <x:row r="5" ht="15" hidden="0" customHeight="1">
      <x:c r="A5" t="str">
        <x:v>epm_transformer_availability</x:v>
      </x:c>
      <x:c r="B5" t="str">
        <x:v>00e09b2c-4392-4771-b8b0-07f9e03af87f.png</x:v>
      </x:c>
      <x:c r="C5" t="str">
        <x:v>Transformer availability/table information</x:v>
      </x:c>
    </x:row>
    <x:row r="6" ht="15" hidden="0" customHeight="1">
      <x:c r="A6" t="str">
        <x:v>epm_transformer_table</x:v>
      </x:c>
      <x:c r="B6" t="str">
        <x:v>7667a52a-5cd7-4ec7-824b-0d35fd8755b5.png</x:v>
      </x:c>
      <x:c r="C6" t="str">
        <x:v>Transformer table for 94022 and 92395</x:v>
      </x:c>
    </x:row>
    <x:row r="7" ht="15" hidden="0" customHeight="1">
      <x:c r="A7" t="str">
        <x:v>epm_transformer_coordinates</x:v>
      </x:c>
      <x:c r="B7" t="str">
        <x:v>8e6158f4-5c01-4c2e-9391-60f8b6397e3b.png</x:v>
      </x:c>
      <x:c r="C7" t="str">
        <x:v>Transformer coordinates, rural classification and circuit</x:v>
      </x:c>
    </x:row>
    <x:row r="8" ht="15" hidden="0" customHeight="1">
      <x:c r="A8" t="str">
        <x:v>epm_transformer_ids_phase</x:v>
      </x:c>
      <x:c r="B8" t="str">
        <x:v>fb1d52ed-c47e-43c1-989f-8174f086d414.png</x:v>
      </x:c>
      <x:c r="C8" t="str">
        <x:v>Transformer IDs, nodes, aerial location and 1F phase</x:v>
      </x:c>
    </x:row>
    <x:row r="9" ht="15" hidden="0" customHeight="1">
      <x:c r="A9" t="str">
        <x:v>epm_transformer_region</x:v>
      </x:c>
      <x:c r="B9" t="str">
        <x:v>80ae45df-f195-4313-b5ca-7fd80e130b1a.png</x:v>
      </x:c>
      <x:c r="C9" t="str">
        <x:v>Region/substation/protection/insulation fields</x:v>
      </x:c>
    </x:row>
    <x:row r="10" ht="15" hidden="0" customHeight="1">
      <x:c r="A10" t="str">
        <x:v>epm_transformer_vereda</x:v>
      </x:c>
      <x:c r="B10" t="str">
        <x:v>06e07fab-7b9f-4488-a2f2-560ee28599a0.png</x:v>
      </x:c>
      <x:c r="C10" t="str">
        <x:v>Vereda Las Camelias and kVA unit fields</x:v>
      </x:c>
    </x:row>
    <x:row r="11" ht="15" hidden="0" customHeight="1">
      <x:c r="A11" t="str">
        <x:v>epm_secondary_conductor_table</x:v>
      </x:c>
      <x:c r="B11" t="str">
        <x:v>77f7d433-6400-43ec-b5f2-56b23c66a2c1.png</x:v>
      </x:c>
      <x:c r="C11" t="str">
        <x:v>Secondary conductor table, AAC #2 and 1/0</x:v>
      </x:c>
    </x:row>
    <x:row r="12" ht="15" hidden="0" customHeight="1">
      <x:c r="A12" t="str">
        <x:v>epm_primary_conductor_table</x:v>
      </x:c>
      <x:c r="B12" t="str">
        <x:v>14214421-7234-4e8f-91cb-628f32e7972e.png</x:v>
      </x:c>
      <x:c r="C12" t="str">
        <x:v>Primary conductor table, ACSR #2 and 4/0</x:v>
      </x:c>
    </x:row>
    <x:row r="13" ht="15" hidden="0" customHeight="1">
      <x:c r="A13" t="str">
        <x:v>epm_primary_legend_map</x:v>
      </x:c>
      <x:c r="B13" t="str">
        <x:v>5fcf558d-fecd-4a49-bdf1-c9a3e6ce66de.png</x:v>
      </x:c>
      <x:c r="C13" t="str">
        <x:v>Primary conductor map and legend</x:v>
      </x:c>
    </x:row>
    <x:row r="14" ht="15" hidden="0" customHeight="1">
      <x:c r="A14" t="str">
        <x:v>epm_transformer_94022_popup</x:v>
      </x:c>
      <x:c r="B14" t="str">
        <x:v>57d75e1a-a782-4ca4-95b4-8b9d3fa7b555.png</x:v>
      </x:c>
      <x:c r="C14" t="str">
        <x:v>Transformer 94022 popup</x:v>
      </x:c>
    </x:row>
    <x:row r="15" ht="15" hidden="0" customHeight="1">
      <x:c r="A15" t="str">
        <x:v>epm_primary_94022_popup</x:v>
      </x:c>
      <x:c r="B15" t="str">
        <x:v>b3de38f5-7bac-460a-939d-1280ee5ed19b.png</x:v>
      </x:c>
      <x:c r="C15" t="str">
        <x:v>Selected #2 ACSR primary conductor popup</x:v>
      </x:c>
    </x:row>
    <x:row r="16" ht="15" hidden="0" customHeight="1">
      <x:c r="A16" t="str">
        <x:v>epm_secondary_94022_popup</x:v>
      </x:c>
      <x:c r="B16" t="str">
        <x:v>ace39055-0efa-4014-b355-685bae8f8306.png</x:v>
      </x:c>
      <x:c r="C16" t="str">
        <x:v>Selected 1/0 AAC secondary conductor popup</x:v>
      </x:c>
    </x:row>
    <x:row r="17" ht="15" hidden="0" customHeight="1">
      <x:c r="A17" t="str">
        <x:v>epm_route_context_1</x:v>
      </x:c>
      <x:c r="B17" t="str">
        <x:v>88d4aa30-4ecd-4a16-9ddf-5cee9ed911c5.png</x:v>
      </x:c>
      <x:c r="C17" t="str">
        <x:v>EPM route context around project</x:v>
      </x:c>
    </x:row>
    <x:row r="18" ht="15" hidden="0" customHeight="1">
      <x:c r="A18" t="str">
        <x:v>satellite_context</x:v>
      </x:c>
      <x:c r="B18" t="str">
        <x:v>b2d360d6-7910-42c3-8adf-ea5bcab57a51.png</x:v>
      </x:c>
      <x:c r="C18" t="str">
        <x:v>Satellite context near project and inspiration centre</x:v>
      </x:c>
    </x:row>
    <x:row r="19" ht="15" hidden="0" customHeight="1">
      <x:c r="A19" t="str">
        <x:v>epm_scale_30m_full</x:v>
      </x:c>
      <x:c r="B19" t="str">
        <x:v>18a0c3ab-24ca-42fb-861b-0b1a4851d9b2.png</x:v>
      </x:c>
      <x:c r="C19" t="str">
        <x:v>EPM map at 30 m scale</x:v>
      </x:c>
    </x:row>
    <x:row r="20" ht="15" hidden="0" customHeight="1">
      <x:c r="A20" t="str">
        <x:v>epm_scale_100m_full</x:v>
      </x:c>
      <x:c r="B20" t="str">
        <x:v>171727f8-7c82-4a6e-91c8-d14677006d3a.png</x:v>
      </x:c>
      <x:c r="C20" t="str">
        <x:v>EPM map at 100 m scale</x:v>
      </x:c>
    </x:row>
    <x:row r="21" ht="15" hidden="0" customHeight="1">
      <x:c r="A21" t="str">
        <x:v>epm_secondary_context</x:v>
      </x:c>
      <x:c r="B21" t="str">
        <x:v>e9b59229-e0b8-42a9-bb1d-3fe0c21892ac.png</x:v>
      </x:c>
      <x:c r="C21" t="str">
        <x:v>Secondary conductor map context</x:v>
      </x:c>
    </x:row>
    <x:row r="22" ht="15" hidden="0" customHeight="1">
      <x:c r="A22" t="str">
        <x:v>epm_secondary_base</x:v>
      </x:c>
      <x:c r="B22" t="str">
        <x:v>205b0928-cd28-4bcc-973d-a8072b2086b4.png</x:v>
      </x:c>
      <x:c r="C22" t="str">
        <x:v>Secondary route base screenshot</x:v>
      </x:c>
    </x:row>
    <x:row r="23" ht="15" hidden="0" customHeight="1">
      <x:c r="A23" t="str">
        <x:v>epm_primary_context</x:v>
      </x:c>
      <x:c r="B23" t="str">
        <x:v>af771082-a4a1-4797-825a-0ba23bfdda6f.png</x:v>
      </x:c>
      <x:c r="C23" t="str">
        <x:v>Broader EPM primary-route context</x:v>
      </x:c>
    </x:row>
    <x:row r="24" ht="15" hidden="0" customHeight="1">
      <x:c r="A24" t="str">
        <x:v>user_secondary_trace</x:v>
      </x:c>
      <x:c r="B24" t="str">
        <x:v>027cec5a-23d4-461b-97bf-63f955ffe581.png</x:v>
      </x:c>
      <x:c r="C24" t="str">
        <x:v>User-corrected black trace of the secondary route</x:v>
      </x:c>
    </x:row>
  </x:sheetData>
  <x:pageMargins left="0.7" right="0.7" top="0.75" bottom="0.75" header="0.3" footer="0.3"/>
</x:worksheet>
</file>